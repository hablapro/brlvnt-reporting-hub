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hony.passaretti\Desktop\"/>
    </mc:Choice>
  </mc:AlternateContent>
  <xr:revisionPtr revIDLastSave="0" documentId="13_ncr:1_{ABEFF6E4-B8CD-418C-AA57-317D12BC593C}" xr6:coauthVersionLast="47" xr6:coauthVersionMax="47" xr10:uidLastSave="{00000000-0000-0000-0000-000000000000}"/>
  <bookViews>
    <workbookView xWindow="21360" yWindow="-21600" windowWidth="19410" windowHeight="21705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15" i="2"/>
  <c r="G14" i="2"/>
  <c r="G13" i="2"/>
  <c r="G12" i="2"/>
  <c r="L16" i="2"/>
  <c r="L15" i="2"/>
  <c r="L14" i="2"/>
  <c r="L13" i="2"/>
  <c r="L12" i="2"/>
  <c r="J12" i="2"/>
  <c r="E16" i="2"/>
  <c r="E15" i="2"/>
  <c r="E14" i="2"/>
  <c r="E13" i="2"/>
  <c r="E12" i="2"/>
  <c r="B16" i="2"/>
  <c r="J16" i="2" s="1"/>
  <c r="B15" i="2"/>
  <c r="J15" i="2" s="1"/>
  <c r="B14" i="2"/>
  <c r="J14" i="2" s="1"/>
  <c r="B13" i="2"/>
  <c r="J13" i="2" s="1"/>
  <c r="B12" i="2"/>
  <c r="N7" i="2"/>
  <c r="N6" i="2"/>
  <c r="N5" i="2"/>
  <c r="N4" i="2"/>
  <c r="N3" i="2"/>
  <c r="N2" i="2"/>
  <c r="L6" i="2"/>
  <c r="L5" i="2"/>
  <c r="L4" i="2"/>
  <c r="L3" i="2"/>
  <c r="I7" i="2"/>
  <c r="I6" i="2"/>
  <c r="I5" i="2"/>
  <c r="I4" i="2"/>
  <c r="I3" i="2"/>
  <c r="I2" i="2"/>
  <c r="H6" i="2"/>
  <c r="H5" i="2"/>
  <c r="H4" i="2"/>
  <c r="H3" i="2"/>
  <c r="H2" i="2"/>
  <c r="F7" i="2"/>
  <c r="F6" i="2"/>
  <c r="F5" i="2"/>
  <c r="F4" i="2"/>
  <c r="F3" i="2"/>
  <c r="F2" i="2"/>
  <c r="M8" i="2"/>
  <c r="N8" i="2" s="1"/>
  <c r="K8" i="2"/>
  <c r="I8" i="2"/>
  <c r="E8" i="2"/>
  <c r="F8" i="2" s="1"/>
  <c r="D8" i="2"/>
  <c r="C7" i="2"/>
  <c r="H7" i="2" s="1"/>
  <c r="C6" i="2"/>
  <c r="C5" i="2"/>
  <c r="C4" i="2"/>
  <c r="C3" i="2"/>
  <c r="C2" i="2"/>
  <c r="L2" i="2" s="1"/>
  <c r="B5" i="3"/>
  <c r="B4" i="3"/>
  <c r="B3" i="3"/>
  <c r="B12" i="1"/>
  <c r="B20" i="1" s="1"/>
  <c r="B18" i="1"/>
  <c r="B15" i="1"/>
  <c r="C8" i="2" l="1"/>
  <c r="L7" i="2"/>
  <c r="H8" i="2" l="1"/>
  <c r="L8" i="2"/>
</calcChain>
</file>

<file path=xl/sharedStrings.xml><?xml version="1.0" encoding="utf-8"?>
<sst xmlns="http://schemas.openxmlformats.org/spreadsheetml/2006/main" count="117" uniqueCount="87">
  <si>
    <t>Client</t>
  </si>
  <si>
    <t>Forex / GCG</t>
  </si>
  <si>
    <t>Geo</t>
  </si>
  <si>
    <t>United States</t>
  </si>
  <si>
    <t>Reporting Period</t>
  </si>
  <si>
    <t>Channel</t>
  </si>
  <si>
    <t>Programmatic (Azerion)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</si>
  <si>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</si>
  <si>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</si>
  <si>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</si>
  <si>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</si>
  <si>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</si>
  <si>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</si>
  <si>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</si>
  <si>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</si>
  <si>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</si>
  <si>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</si>
  <si>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</si>
  <si>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</si>
  <si>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</si>
  <si>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Results (Conversions)</t>
  </si>
  <si>
    <t>CPA (Cost Per Result)</t>
  </si>
  <si>
    <t>Viewability</t>
  </si>
  <si>
    <t>Campaign</t>
  </si>
  <si>
    <t>Ad Set</t>
  </si>
  <si>
    <t>CPC</t>
  </si>
  <si>
    <t>Results</t>
  </si>
  <si>
    <t>CPA</t>
  </si>
  <si>
    <t>Total</t>
  </si>
  <si>
    <t>Weekly Trend — Conversion Campaign</t>
  </si>
  <si>
    <t>Week</t>
  </si>
  <si>
    <t>Reach</t>
  </si>
  <si>
    <t>Frequency</t>
  </si>
  <si>
    <t>Device Type Breakdown — Conversion Campaign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</si>
  <si>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</si>
  <si>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</si>
  <si>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</si>
  <si>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</si>
  <si>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</si>
  <si>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</si>
  <si>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</si>
  <si>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</si>
  <si>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</si>
  <si>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</si>
  <si>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</si>
  <si>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</si>
  <si>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</si>
  <si>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</si>
  <si>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</si>
  <si>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</si>
  <si>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</si>
  <si>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</si>
  <si>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</si>
  <si>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</si>
  <si>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</si>
  <si>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</si>
  <si>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</si>
  <si>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Broker 1</t>
  </si>
  <si>
    <t xml:space="preserve">Language Broker </t>
  </si>
  <si>
    <t>Professional Tools</t>
  </si>
  <si>
    <t>Spanish Platform</t>
  </si>
  <si>
    <t>Trust HTML</t>
  </si>
  <si>
    <t>Trusted Broker</t>
  </si>
  <si>
    <t>U.S</t>
  </si>
  <si>
    <t>Executive Summary</t>
  </si>
  <si>
    <t>Campaign Highlights</t>
  </si>
  <si>
    <t>Suggested Optimizations</t>
  </si>
  <si>
    <t>Next Steps</t>
  </si>
  <si>
    <t>Continuing to work on optimal frequency to help reduce user journey dropoff</t>
  </si>
  <si>
    <t>Forex GCG (US) — July 2026 Azerion Report</t>
  </si>
  <si>
    <t>Jul 1st–31st, 2026</t>
  </si>
  <si>
    <t>July 1st-31th, 2026</t>
  </si>
  <si>
    <t>Viewable Imps</t>
  </si>
  <si>
    <t>July 1-7</t>
  </si>
  <si>
    <t>July 8-14</t>
  </si>
  <si>
    <t>July 15-21</t>
  </si>
  <si>
    <t>July 22-28</t>
  </si>
  <si>
    <t>July 29-31</t>
  </si>
  <si>
    <t>July was the highest Application month with 80. CPA improved from $577 in June to $358 in July.</t>
  </si>
  <si>
    <t>Step 1 CPA was $44, a 38% improvement on June's $71 CPA.</t>
  </si>
  <si>
    <t>This is in spite of a drop in sitewide visits, indicating we're driving more qualified traffic to Forex.com.</t>
  </si>
  <si>
    <t>Spend declined from $39k to $28k due to shifting some budget to Native.</t>
  </si>
  <si>
    <t>Site visits decreased from 31,642 to 19,727 as we focused more on qualified traffic and less on prospecting.</t>
  </si>
  <si>
    <t>This bares out in Step 1 conversions increasing 18% from 555 to 653.</t>
  </si>
  <si>
    <t>80 application conversions</t>
  </si>
  <si>
    <t>Continue scaling the upper-funnel tactics to increase the retargeting pool and keep feeding the improved July conversion rate.</t>
  </si>
  <si>
    <t>Optimize the Native campaign to grow the Retargeting pool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</si>
</sst>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#,##0_ ;\-#,##0\ "/>
    <numFmt numFmtId="168" formatCode="_(* #,##0_);_(* \(#,##0\);_(* &quot;-&quot;??_);_(@_)"/>
  </numFmts>
  <fonts count="14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rgb="FF1A2A39"/>
      <name val="Arial"/>
      <family val="2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50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4" borderId="0" xfId="0" applyFont="1" applyFill="1"/>
    <xf numFmtId="0" fontId="3" fillId="5" borderId="0" xfId="0" applyFont="1" applyFill="1"/>
    <xf numFmtId="0" fontId="2" fillId="3" borderId="1" xfId="0" applyFont="1" applyFill="1" applyBorder="1"/>
    <xf numFmtId="0" fontId="7" fillId="0" borderId="0" xfId="0" applyFont="1"/>
    <xf numFmtId="166" fontId="0" fillId="0" borderId="2" xfId="0" applyNumberFormat="1" applyBorder="1"/>
    <xf numFmtId="0" fontId="0" fillId="0" borderId="2" xfId="0" applyBorder="1"/>
    <xf numFmtId="10" fontId="0" fillId="0" borderId="2" xfId="0" applyNumberFormat="1" applyBorder="1"/>
    <xf numFmtId="0" fontId="9" fillId="6" borderId="2" xfId="0" applyFont="1" applyFill="1" applyBorder="1"/>
    <xf numFmtId="10" fontId="9" fillId="6" borderId="2" xfId="0" applyNumberFormat="1" applyFont="1" applyFill="1" applyBorder="1"/>
    <xf numFmtId="166" fontId="9" fillId="6" borderId="2" xfId="0" applyNumberFormat="1" applyFont="1" applyFill="1" applyBorder="1"/>
    <xf numFmtId="0" fontId="10" fillId="0" borderId="0" xfId="0" applyFont="1"/>
    <xf numFmtId="0" fontId="0" fillId="0" borderId="2" xfId="0" applyBorder="1" applyAlignment="1">
      <alignment horizontal="left" indent="1"/>
    </xf>
    <xf numFmtId="166" fontId="3" fillId="5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9" fontId="0" fillId="0" borderId="0" xfId="1" applyFont="1"/>
    <xf numFmtId="10" fontId="3" fillId="5" borderId="0" xfId="1" applyNumberFormat="1" applyFont="1" applyFill="1" applyAlignment="1">
      <alignment horizontal="right"/>
    </xf>
    <xf numFmtId="166" fontId="0" fillId="0" borderId="0" xfId="0" applyNumberFormat="1"/>
    <xf numFmtId="167" fontId="3" fillId="5" borderId="0" xfId="0" applyNumberFormat="1" applyFont="1" applyFill="1" applyAlignment="1">
      <alignment horizontal="right"/>
    </xf>
    <xf numFmtId="167" fontId="0" fillId="0" borderId="0" xfId="0" applyNumberFormat="1"/>
    <xf numFmtId="0" fontId="12" fillId="0" borderId="0" xfId="0" applyFont="1"/>
    <xf numFmtId="168" fontId="9" fillId="6" borderId="2" xfId="2" applyNumberFormat="1" applyFont="1" applyFill="1" applyBorder="1"/>
    <xf numFmtId="44" fontId="9" fillId="6" borderId="2" xfId="3" applyFont="1" applyFill="1" applyBorder="1"/>
    <xf numFmtId="43" fontId="9" fillId="6" borderId="2" xfId="0" applyNumberFormat="1" applyFont="1" applyFill="1" applyBorder="1"/>
    <xf numFmtId="0" fontId="7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43" fontId="0" fillId="0" borderId="2" xfId="2" applyFont="1" applyBorder="1"/>
    <xf numFmtId="168" fontId="0" fillId="0" borderId="2" xfId="2" applyNumberFormat="1" applyFont="1" applyBorder="1"/>
    <xf numFmtId="168" fontId="9" fillId="6" borderId="2" xfId="0" applyNumberFormat="1" applyFont="1" applyFill="1" applyBorder="1"/>
    <xf numFmtId="43" fontId="3" fillId="5" borderId="0" xfId="2" applyFont="1" applyFill="1" applyAlignment="1">
      <alignment horizontal="right"/>
    </xf>
    <xf numFmtId="43" fontId="0" fillId="0" borderId="0" xfId="2" applyFont="1"/>
    <xf numFmtId="168" fontId="3" fillId="5" borderId="0" xfId="2" applyNumberFormat="1" applyFont="1" applyFill="1" applyAlignment="1">
      <alignment horizontal="right"/>
    </xf>
    <xf numFmtId="168" fontId="0" fillId="0" borderId="0" xfId="2" applyNumberFormat="1" applyFont="1"/>
    <xf numFmtId="44" fontId="0" fillId="0" borderId="2" xfId="3" applyFont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1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1" max="1" width="103.21875" bestFit="1" customWidth="1"/>
    <col min="2" max="2" width="43.88671875" customWidth="1"/>
    <col min="6" max="26" width="12.6640625" hidden="1"/>
  </cols>
  <sheetData>
    <row r="1" spans="1:5" ht="37.5" customHeight="1" x14ac:dyDescent="0.25">
      <c r="A1" s="40" t="s">
        <v>69</v>
      </c>
      <c r="B1" s="38"/>
      <c r="C1" s="38"/>
      <c r="D1" s="38"/>
      <c r="E1" s="38"/>
    </row>
    <row r="3" spans="1:5" ht="13.2" x14ac:dyDescent="0.25">
      <c r="A3" s="1" t="s">
        <v>0</v>
      </c>
      <c r="B3" s="2" t="s">
        <v>1</v>
      </c>
    </row>
    <row r="4" spans="1:5" ht="13.2" x14ac:dyDescent="0.25">
      <c r="A4" s="1" t="s">
        <v>2</v>
      </c>
      <c r="B4" s="2" t="s">
        <v>3</v>
      </c>
    </row>
    <row r="5" spans="1:5" ht="13.2" x14ac:dyDescent="0.25">
      <c r="A5" s="1" t="s">
        <v>4</v>
      </c>
      <c r="B5" s="2" t="s">
        <v>70</v>
      </c>
    </row>
    <row r="6" spans="1:5" ht="13.2" x14ac:dyDescent="0.25">
      <c r="A6" s="1" t="s">
        <v>5</v>
      </c>
      <c r="B6" s="2" t="s">
        <v>6</v>
      </c>
    </row>
    <row r="7" spans="1:5" ht="13.2" x14ac:dyDescent="0.25">
      <c r="A7" s="1" t="s">
        <v>7</v>
      </c>
      <c r="B7" s="2" t="s">
        <v>8</v>
      </c>
    </row>
    <row r="8" spans="1:5" ht="13.2" x14ac:dyDescent="0.25">
      <c r="A8" s="1" t="s">
        <v>9</v>
      </c>
      <c r="B8" s="2"/>
    </row>
    <row r="9" spans="1:5" ht="13.2" x14ac:dyDescent="0.25">
      <c r="A9" s="1" t="s">
        <v>10</v>
      </c>
      <c r="B9" s="3"/>
    </row>
    <row r="11" spans="1:5" ht="13.8" x14ac:dyDescent="0.25">
      <c r="A11" s="4" t="s">
        <v>11</v>
      </c>
      <c r="B11" s="4" t="s">
        <v>12</v>
      </c>
    </row>
    <row r="12" spans="1:5" ht="13.8" x14ac:dyDescent="0.25">
      <c r="A12" s="5" t="s">
        <v>13</v>
      </c>
      <c r="B12" s="23">
        <f>B13*B16/1000</f>
        <v>28615.385999999999</v>
      </c>
      <c r="D12" s="6"/>
    </row>
    <row r="13" spans="1:5" ht="13.8" x14ac:dyDescent="0.25">
      <c r="A13" s="1" t="s">
        <v>14</v>
      </c>
      <c r="B13" s="34">
        <v>4769231</v>
      </c>
    </row>
    <row r="14" spans="1:5" ht="13.8" x14ac:dyDescent="0.25">
      <c r="A14" s="5" t="s">
        <v>15</v>
      </c>
      <c r="B14" s="34">
        <v>8892</v>
      </c>
    </row>
    <row r="15" spans="1:5" ht="13.8" x14ac:dyDescent="0.25">
      <c r="A15" s="1" t="s">
        <v>16</v>
      </c>
      <c r="B15" s="22">
        <f>B14/B13</f>
        <v>1.8644515226878295E-3</v>
      </c>
    </row>
    <row r="16" spans="1:5" ht="13.8" x14ac:dyDescent="0.25">
      <c r="A16" s="5" t="s">
        <v>17</v>
      </c>
      <c r="B16" s="35">
        <v>6</v>
      </c>
    </row>
    <row r="17" spans="1:5" ht="13.8" x14ac:dyDescent="0.25">
      <c r="A17" s="1" t="s">
        <v>18</v>
      </c>
      <c r="B17" s="34">
        <v>1411015</v>
      </c>
    </row>
    <row r="18" spans="1:5" ht="13.8" x14ac:dyDescent="0.25">
      <c r="A18" s="5" t="s">
        <v>19</v>
      </c>
      <c r="B18" s="36">
        <f>B13/B17</f>
        <v>3.3800002126129063</v>
      </c>
    </row>
    <row r="19" spans="1:5" ht="13.8" x14ac:dyDescent="0.25">
      <c r="A19" s="1" t="s">
        <v>20</v>
      </c>
      <c r="B19" s="34">
        <v>80</v>
      </c>
    </row>
    <row r="20" spans="1:5" ht="13.8" x14ac:dyDescent="0.25">
      <c r="A20" s="5" t="s">
        <v>21</v>
      </c>
      <c r="B20" s="23">
        <f>B12/B19</f>
        <v>357.69232499999998</v>
      </c>
    </row>
    <row r="21" spans="1:5" ht="13.2" x14ac:dyDescent="0.25">
      <c r="A21" s="12"/>
      <c r="B21" s="13"/>
    </row>
    <row r="22" spans="1:5" ht="13.8" x14ac:dyDescent="0.25">
      <c r="A22" s="1" t="s">
        <v>22</v>
      </c>
      <c r="B22" s="22">
        <v>0.71279999999999999</v>
      </c>
    </row>
    <row r="24" spans="1:5" ht="15.75" customHeight="1" x14ac:dyDescent="0.3">
      <c r="A24" s="33" t="s">
        <v>64</v>
      </c>
    </row>
    <row r="25" spans="1:5" ht="15.75" customHeight="1" x14ac:dyDescent="0.25">
      <c r="A25" s="39" t="s">
        <v>78</v>
      </c>
      <c r="B25" s="38"/>
      <c r="C25" s="38"/>
      <c r="D25" s="38"/>
      <c r="E25" s="38"/>
    </row>
    <row r="26" spans="1:5" ht="13.2" x14ac:dyDescent="0.25">
      <c r="A26" s="24" t="s">
        <v>79</v>
      </c>
    </row>
    <row r="27" spans="1:5" ht="13.2" x14ac:dyDescent="0.25">
      <c r="A27" s="24" t="s">
        <v>80</v>
      </c>
    </row>
    <row r="28" spans="1:5" ht="13.2" x14ac:dyDescent="0.25"/>
    <row r="29" spans="1:5" ht="16.8" x14ac:dyDescent="0.3">
      <c r="A29" s="33" t="s">
        <v>65</v>
      </c>
    </row>
    <row r="30" spans="1:5" ht="13.2" x14ac:dyDescent="0.25">
      <c r="A30" s="27" t="s">
        <v>81</v>
      </c>
    </row>
    <row r="31" spans="1:5" ht="15.75" customHeight="1" x14ac:dyDescent="0.25">
      <c r="A31" s="24" t="s">
        <v>82</v>
      </c>
    </row>
    <row r="32" spans="1:5" ht="15.75" customHeight="1" x14ac:dyDescent="0.25">
      <c r="A32" s="27" t="s">
        <v>83</v>
      </c>
    </row>
    <row r="33" spans="1:5" ht="15.75" customHeight="1" x14ac:dyDescent="0.25">
      <c r="A33" s="24" t="s">
        <v>84</v>
      </c>
    </row>
    <row r="34" spans="1:5" ht="15.75" customHeight="1" x14ac:dyDescent="0.3">
      <c r="A34" s="33" t="s">
        <v>66</v>
      </c>
    </row>
    <row r="35" spans="1:5" ht="15.75" customHeight="1" x14ac:dyDescent="0.25">
      <c r="A35" s="27" t="s">
        <v>85</v>
      </c>
    </row>
    <row r="36" spans="1:5" ht="15.75" customHeight="1" x14ac:dyDescent="0.25">
      <c r="A36" s="27" t="s">
        <v>68</v>
      </c>
    </row>
    <row r="38" spans="1:5" ht="15.75" customHeight="1" x14ac:dyDescent="0.3">
      <c r="A38" s="33" t="s">
        <v>67</v>
      </c>
    </row>
    <row r="39" spans="1:5" ht="15.75" customHeight="1" x14ac:dyDescent="0.25">
      <c r="A39" s="39" t="s">
        <v>86</v>
      </c>
      <c r="B39" s="38"/>
      <c r="C39" s="38"/>
      <c r="D39" s="38"/>
      <c r="E39" s="38"/>
    </row>
    <row r="40" spans="1:5" ht="15.75" customHeight="1" x14ac:dyDescent="0.25">
      <c r="A40" s="39"/>
      <c r="B40" s="38"/>
      <c r="C40" s="38"/>
      <c r="D40" s="38"/>
      <c r="E40" s="38"/>
    </row>
    <row r="41" spans="1:5" ht="15.75" customHeight="1" x14ac:dyDescent="0.25">
      <c r="A41" s="39"/>
      <c r="B41" s="38"/>
      <c r="C41" s="38"/>
      <c r="D41" s="38"/>
      <c r="E41" s="38"/>
    </row>
  </sheetData>
  <mergeCells count="5">
    <mergeCell ref="A39:E39"/>
    <mergeCell ref="A40:E40"/>
    <mergeCell ref="A41:E41"/>
    <mergeCell ref="A1:E1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6"/>
  <sheetViews>
    <sheetView showGridLines="0" workbookViewId="0"/>
  </sheetViews>
  <sheetFormatPr defaultColWidth="12.6640625" defaultRowHeight="15.75" customHeight="1" x14ac:dyDescent="0.25"/>
  <cols>
    <col min="1" max="1" width="12.21875" bestFit="1" customWidth="1"/>
    <col min="2" max="2" width="25.109375" customWidth="1"/>
    <col min="3" max="6" width="12.6640625" customWidth="1"/>
    <col min="7" max="7" width="12.6640625" style="32" customWidth="1"/>
    <col min="8" max="9" width="12.6640625" customWidth="1"/>
    <col min="10" max="10" width="16.6640625" style="30" bestFit="1" customWidth="1"/>
    <col min="11" max="11" width="14.109375" style="28" bestFit="1" customWidth="1"/>
    <col min="12" max="12" width="12.6640625" customWidth="1"/>
    <col min="13" max="13" width="14.109375" bestFit="1" customWidth="1"/>
    <col min="14" max="14" width="12.6640625" customWidth="1"/>
    <col min="15" max="27" width="12.6640625" hidden="1"/>
  </cols>
  <sheetData>
    <row r="1" spans="1:14" ht="13.2" x14ac:dyDescent="0.25">
      <c r="A1" s="14" t="s">
        <v>23</v>
      </c>
      <c r="B1" s="14" t="s">
        <v>24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25</v>
      </c>
      <c r="I1" s="14" t="s">
        <v>18</v>
      </c>
      <c r="J1" s="14" t="s">
        <v>19</v>
      </c>
      <c r="K1" s="14" t="s">
        <v>26</v>
      </c>
      <c r="L1" s="14" t="s">
        <v>27</v>
      </c>
      <c r="M1" s="14" t="s">
        <v>72</v>
      </c>
      <c r="N1" s="14" t="s">
        <v>22</v>
      </c>
    </row>
    <row r="2" spans="1:14" ht="15.75" customHeight="1" x14ac:dyDescent="0.25">
      <c r="A2" s="24" t="s">
        <v>63</v>
      </c>
      <c r="B2" s="25" t="s">
        <v>57</v>
      </c>
      <c r="C2" s="18">
        <f>D2*G2/1000</f>
        <v>4112.616</v>
      </c>
      <c r="D2" s="43">
        <v>685436</v>
      </c>
      <c r="E2" s="43">
        <v>1064</v>
      </c>
      <c r="F2" s="20">
        <f>E2/D2</f>
        <v>1.5522966403865568E-3</v>
      </c>
      <c r="G2" s="49">
        <v>6</v>
      </c>
      <c r="H2" s="18">
        <f>C2/E2</f>
        <v>3.8652406015037593</v>
      </c>
      <c r="I2" s="43">
        <f>D2/J2</f>
        <v>202791.70322007887</v>
      </c>
      <c r="J2" s="42">
        <v>3.3800002126129063</v>
      </c>
      <c r="K2" s="19">
        <v>13</v>
      </c>
      <c r="L2" s="18">
        <f>C2/K2</f>
        <v>316.35507692307692</v>
      </c>
      <c r="M2" s="43">
        <v>445712</v>
      </c>
      <c r="N2" s="20">
        <f>M2/D2</f>
        <v>0.65026056407892208</v>
      </c>
    </row>
    <row r="3" spans="1:14" ht="15.75" customHeight="1" x14ac:dyDescent="0.25">
      <c r="A3" s="24" t="s">
        <v>63</v>
      </c>
      <c r="B3" s="25" t="s">
        <v>58</v>
      </c>
      <c r="C3" s="18">
        <f t="shared" ref="C3:C7" si="0">D3*G3/1000</f>
        <v>6727.6319999999996</v>
      </c>
      <c r="D3" s="43">
        <v>1121272</v>
      </c>
      <c r="E3" s="43">
        <v>2164</v>
      </c>
      <c r="F3" s="20">
        <f t="shared" ref="F3:F7" si="1">E3/D3</f>
        <v>1.9299509842393282E-3</v>
      </c>
      <c r="G3" s="49">
        <v>6</v>
      </c>
      <c r="H3" s="18">
        <f t="shared" ref="H3:H7" si="2">C3/E3</f>
        <v>3.1088872458410348</v>
      </c>
      <c r="I3" s="43">
        <f t="shared" ref="I3:I7" si="3">D3/J3</f>
        <v>331737.25723916496</v>
      </c>
      <c r="J3" s="42">
        <v>3.3800002126129063</v>
      </c>
      <c r="K3" s="19">
        <v>16</v>
      </c>
      <c r="L3" s="18">
        <f t="shared" ref="L3:L7" si="4">C3/K3</f>
        <v>420.47699999999998</v>
      </c>
      <c r="M3" s="43">
        <v>747490</v>
      </c>
      <c r="N3" s="20">
        <f t="shared" ref="N3:N8" si="5">M3/D3</f>
        <v>0.66664466784152288</v>
      </c>
    </row>
    <row r="4" spans="1:14" ht="15.75" customHeight="1" x14ac:dyDescent="0.25">
      <c r="A4" s="24" t="s">
        <v>63</v>
      </c>
      <c r="B4" s="25" t="s">
        <v>59</v>
      </c>
      <c r="C4" s="18">
        <f t="shared" si="0"/>
        <v>3553.65</v>
      </c>
      <c r="D4" s="43">
        <v>592275</v>
      </c>
      <c r="E4" s="43">
        <v>1189</v>
      </c>
      <c r="F4" s="20">
        <f t="shared" si="1"/>
        <v>2.0075134017137311E-3</v>
      </c>
      <c r="G4" s="49">
        <v>6</v>
      </c>
      <c r="H4" s="18">
        <f t="shared" si="2"/>
        <v>2.9887720773759461</v>
      </c>
      <c r="I4" s="43">
        <f t="shared" si="3"/>
        <v>175229.27891834136</v>
      </c>
      <c r="J4" s="42">
        <v>3.3800002126129063</v>
      </c>
      <c r="K4" s="19">
        <v>18</v>
      </c>
      <c r="L4" s="18">
        <f t="shared" si="4"/>
        <v>197.42500000000001</v>
      </c>
      <c r="M4" s="43">
        <v>368978</v>
      </c>
      <c r="N4" s="20">
        <f t="shared" si="5"/>
        <v>0.62298425562449877</v>
      </c>
    </row>
    <row r="5" spans="1:14" ht="15.75" customHeight="1" x14ac:dyDescent="0.25">
      <c r="A5" s="24" t="s">
        <v>63</v>
      </c>
      <c r="B5" s="25" t="s">
        <v>60</v>
      </c>
      <c r="C5" s="18">
        <f t="shared" si="0"/>
        <v>7310.7780000000002</v>
      </c>
      <c r="D5" s="43">
        <v>1218463</v>
      </c>
      <c r="E5" s="43">
        <v>2427</v>
      </c>
      <c r="F5" s="20">
        <f t="shared" si="1"/>
        <v>1.9918536713876417E-3</v>
      </c>
      <c r="G5" s="49">
        <v>6</v>
      </c>
      <c r="H5" s="18">
        <f t="shared" si="2"/>
        <v>3.0122694684796048</v>
      </c>
      <c r="I5" s="43">
        <f t="shared" si="3"/>
        <v>360491.98915821023</v>
      </c>
      <c r="J5" s="42">
        <v>3.3800002126129063</v>
      </c>
      <c r="K5" s="19">
        <v>9</v>
      </c>
      <c r="L5" s="18">
        <f t="shared" si="4"/>
        <v>812.30866666666668</v>
      </c>
      <c r="M5" s="43">
        <v>813703</v>
      </c>
      <c r="N5" s="20">
        <f t="shared" si="5"/>
        <v>0.66781100451962838</v>
      </c>
    </row>
    <row r="6" spans="1:14" ht="15.75" customHeight="1" x14ac:dyDescent="0.25">
      <c r="A6" s="24" t="s">
        <v>63</v>
      </c>
      <c r="B6" s="25" t="s">
        <v>61</v>
      </c>
      <c r="C6" s="18">
        <f t="shared" si="0"/>
        <v>3478.5479999999998</v>
      </c>
      <c r="D6" s="43">
        <v>579758</v>
      </c>
      <c r="E6" s="43">
        <v>893</v>
      </c>
      <c r="F6" s="20">
        <f t="shared" si="1"/>
        <v>1.5402978484126135E-3</v>
      </c>
      <c r="G6" s="49">
        <v>6</v>
      </c>
      <c r="H6" s="18">
        <f t="shared" si="2"/>
        <v>3.8953505039193725</v>
      </c>
      <c r="I6" s="43">
        <f t="shared" si="3"/>
        <v>171526.02471341816</v>
      </c>
      <c r="J6" s="42">
        <v>3.3800002126129063</v>
      </c>
      <c r="K6" s="19">
        <v>13</v>
      </c>
      <c r="L6" s="18">
        <f t="shared" si="4"/>
        <v>267.58061538461538</v>
      </c>
      <c r="M6" s="43">
        <v>366774</v>
      </c>
      <c r="N6" s="20">
        <f t="shared" si="5"/>
        <v>0.63263292615194611</v>
      </c>
    </row>
    <row r="7" spans="1:14" ht="15.75" customHeight="1" x14ac:dyDescent="0.25">
      <c r="A7" s="24" t="s">
        <v>63</v>
      </c>
      <c r="B7" s="25" t="s">
        <v>62</v>
      </c>
      <c r="C7" s="18">
        <f t="shared" si="0"/>
        <v>3432.1619999999998</v>
      </c>
      <c r="D7" s="43">
        <v>572027</v>
      </c>
      <c r="E7" s="43">
        <v>1155</v>
      </c>
      <c r="F7" s="20">
        <f t="shared" si="1"/>
        <v>2.0191354603891075E-3</v>
      </c>
      <c r="G7" s="49">
        <v>6</v>
      </c>
      <c r="H7" s="18">
        <f t="shared" si="2"/>
        <v>2.9715688311688311</v>
      </c>
      <c r="I7" s="43">
        <f t="shared" si="3"/>
        <v>169238.74675078643</v>
      </c>
      <c r="J7" s="42">
        <v>3.3800002126129063</v>
      </c>
      <c r="K7" s="19">
        <v>11</v>
      </c>
      <c r="L7" s="18">
        <f t="shared" si="4"/>
        <v>312.01472727272727</v>
      </c>
      <c r="M7" s="43">
        <v>354907</v>
      </c>
      <c r="N7" s="20">
        <f t="shared" si="5"/>
        <v>0.62043749683144322</v>
      </c>
    </row>
    <row r="8" spans="1:14" ht="13.8" x14ac:dyDescent="0.25">
      <c r="A8" s="16" t="s">
        <v>28</v>
      </c>
      <c r="C8" s="23">
        <f>SUM(C2:C7)</f>
        <v>28615.385999999999</v>
      </c>
      <c r="D8" s="44">
        <f>SUM(D2:D7)</f>
        <v>4769231</v>
      </c>
      <c r="E8" s="44">
        <f>SUM(E2:E7)</f>
        <v>8892</v>
      </c>
      <c r="F8" s="22">
        <f>E8/D8</f>
        <v>1.8644515226878295E-3</v>
      </c>
      <c r="G8" s="21"/>
      <c r="H8" s="23">
        <f>C8/E8</f>
        <v>3.2181045883940618</v>
      </c>
      <c r="I8" s="44">
        <f>SUM(I2:I7)</f>
        <v>1411015.0000000002</v>
      </c>
      <c r="J8" s="36">
        <v>3.3800002126129063</v>
      </c>
      <c r="K8" s="44">
        <f>SUM(K2:K7)</f>
        <v>80</v>
      </c>
      <c r="L8" s="23">
        <f>C8/K8</f>
        <v>357.69232499999998</v>
      </c>
      <c r="M8" s="44">
        <f>SUM(M2:M7)</f>
        <v>3097564</v>
      </c>
      <c r="N8" s="22">
        <f t="shared" si="5"/>
        <v>0.6494891943795551</v>
      </c>
    </row>
    <row r="9" spans="1:14" ht="15.75" customHeight="1" x14ac:dyDescent="0.25">
      <c r="G9"/>
      <c r="J9"/>
      <c r="K9"/>
    </row>
    <row r="10" spans="1:14" ht="15.75" customHeight="1" x14ac:dyDescent="0.3">
      <c r="A10" s="37" t="s">
        <v>29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4" ht="13.2" x14ac:dyDescent="0.25">
      <c r="A11" s="14" t="s">
        <v>30</v>
      </c>
      <c r="B11" s="14" t="s">
        <v>13</v>
      </c>
      <c r="C11" s="14" t="s">
        <v>14</v>
      </c>
      <c r="D11" s="14" t="s">
        <v>15</v>
      </c>
      <c r="E11" s="14" t="s">
        <v>16</v>
      </c>
      <c r="F11" s="14" t="s">
        <v>17</v>
      </c>
      <c r="G11" s="14" t="s">
        <v>31</v>
      </c>
      <c r="H11" s="14" t="s">
        <v>32</v>
      </c>
      <c r="I11" s="14" t="s">
        <v>26</v>
      </c>
      <c r="J11" s="14" t="s">
        <v>27</v>
      </c>
      <c r="K11" s="14" t="s">
        <v>72</v>
      </c>
      <c r="L11" s="14" t="s">
        <v>22</v>
      </c>
    </row>
    <row r="12" spans="1:14" ht="15.75" customHeight="1" x14ac:dyDescent="0.25">
      <c r="A12" s="15" t="s">
        <v>73</v>
      </c>
      <c r="B12" s="9">
        <f>C12*F12/1000</f>
        <v>8829.1679999999997</v>
      </c>
      <c r="C12" s="47">
        <v>1471528</v>
      </c>
      <c r="D12" s="47">
        <v>2605</v>
      </c>
      <c r="E12" s="29">
        <f>D12/C12</f>
        <v>1.7702687274723961E-3</v>
      </c>
      <c r="F12" s="26">
        <v>6</v>
      </c>
      <c r="G12" s="31">
        <f>C12/H12</f>
        <v>595760.32388663967</v>
      </c>
      <c r="H12" s="45">
        <v>2.4700000000000002</v>
      </c>
      <c r="I12" s="10">
        <v>23</v>
      </c>
      <c r="J12" s="26">
        <f>B12/I12</f>
        <v>383.87686956521736</v>
      </c>
      <c r="K12" s="47">
        <v>934447</v>
      </c>
      <c r="L12" s="29">
        <f>K12/C12</f>
        <v>0.635018157996314</v>
      </c>
    </row>
    <row r="13" spans="1:14" ht="15.75" customHeight="1" x14ac:dyDescent="0.25">
      <c r="A13" s="15" t="s">
        <v>74</v>
      </c>
      <c r="B13" s="9">
        <f t="shared" ref="B13:B16" si="6">C13*F13/1000</f>
        <v>7955.9880000000003</v>
      </c>
      <c r="C13" s="47">
        <v>1325998</v>
      </c>
      <c r="D13" s="47">
        <v>2179</v>
      </c>
      <c r="E13" s="29">
        <f t="shared" ref="E13:E16" si="7">D13/C13</f>
        <v>1.6432905630325233E-3</v>
      </c>
      <c r="F13" s="26">
        <v>6</v>
      </c>
      <c r="G13" s="31">
        <f t="shared" ref="G13:G16" si="8">C13/H13</f>
        <v>460415.97222222225</v>
      </c>
      <c r="H13" s="45">
        <v>2.88</v>
      </c>
      <c r="I13" s="10">
        <v>15</v>
      </c>
      <c r="J13" s="26">
        <f t="shared" ref="J13:J16" si="9">B13/I13</f>
        <v>530.39920000000006</v>
      </c>
      <c r="K13" s="47">
        <v>851575</v>
      </c>
      <c r="L13" s="29">
        <f t="shared" ref="L13:L16" si="10">K13/C13</f>
        <v>0.64221439248022993</v>
      </c>
    </row>
    <row r="14" spans="1:14" ht="15.75" customHeight="1" x14ac:dyDescent="0.25">
      <c r="A14" s="15" t="s">
        <v>75</v>
      </c>
      <c r="B14" s="9">
        <f t="shared" si="6"/>
        <v>8033.2740000000003</v>
      </c>
      <c r="C14" s="47">
        <v>1338879</v>
      </c>
      <c r="D14" s="47">
        <v>2466</v>
      </c>
      <c r="E14" s="29">
        <f t="shared" si="7"/>
        <v>1.8418393297676638E-3</v>
      </c>
      <c r="F14" s="26">
        <v>6</v>
      </c>
      <c r="G14" s="31">
        <f t="shared" si="8"/>
        <v>425040.95238095237</v>
      </c>
      <c r="H14" s="45">
        <v>3.15</v>
      </c>
      <c r="I14" s="10">
        <v>22</v>
      </c>
      <c r="J14" s="26">
        <f t="shared" si="9"/>
        <v>365.14881818181817</v>
      </c>
      <c r="K14" s="47">
        <v>884112</v>
      </c>
      <c r="L14" s="29">
        <f t="shared" si="10"/>
        <v>0.66033749128935471</v>
      </c>
    </row>
    <row r="15" spans="1:14" ht="15.75" customHeight="1" x14ac:dyDescent="0.25">
      <c r="A15" t="s">
        <v>76</v>
      </c>
      <c r="B15" s="9">
        <f t="shared" si="6"/>
        <v>2895.1439999999998</v>
      </c>
      <c r="C15" s="48">
        <v>482524</v>
      </c>
      <c r="D15" s="48">
        <v>1452</v>
      </c>
      <c r="E15" s="29">
        <f t="shared" si="7"/>
        <v>3.0091767456126533E-3</v>
      </c>
      <c r="F15" s="30">
        <v>6</v>
      </c>
      <c r="G15" s="31">
        <f t="shared" si="8"/>
        <v>136692.35127478754</v>
      </c>
      <c r="H15" s="46">
        <v>3.53</v>
      </c>
      <c r="I15">
        <v>20</v>
      </c>
      <c r="J15" s="26">
        <f t="shared" si="9"/>
        <v>144.75719999999998</v>
      </c>
      <c r="K15" s="47">
        <v>329230</v>
      </c>
      <c r="L15" s="29">
        <f t="shared" si="10"/>
        <v>0.68230803027414177</v>
      </c>
    </row>
    <row r="16" spans="1:14" ht="15.75" customHeight="1" x14ac:dyDescent="0.25">
      <c r="A16" t="s">
        <v>77</v>
      </c>
      <c r="B16" s="9">
        <f t="shared" si="6"/>
        <v>901.81200000000001</v>
      </c>
      <c r="C16" s="48">
        <v>150302</v>
      </c>
      <c r="D16" s="48">
        <v>190</v>
      </c>
      <c r="E16" s="29">
        <f t="shared" si="7"/>
        <v>1.2641215685752685E-3</v>
      </c>
      <c r="F16" s="30">
        <v>6</v>
      </c>
      <c r="G16" s="31">
        <f t="shared" si="8"/>
        <v>36481.067961165048</v>
      </c>
      <c r="H16" s="46">
        <v>4.12</v>
      </c>
      <c r="I16">
        <v>0</v>
      </c>
      <c r="J16" s="26" t="e">
        <f t="shared" si="9"/>
        <v>#DIV/0!</v>
      </c>
      <c r="K16" s="47">
        <v>98200</v>
      </c>
      <c r="L16" s="29">
        <f t="shared" si="10"/>
        <v>0.65335125281100714</v>
      </c>
    </row>
  </sheetData>
  <mergeCells count="1">
    <mergeCell ref="A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9"/>
  <sheetViews>
    <sheetView showGridLines="0" workbookViewId="0">
      <selection sqref="A1:D1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</cols>
  <sheetData>
    <row r="1" spans="1:4" ht="15.75" customHeight="1" x14ac:dyDescent="0.3">
      <c r="A1" s="37" t="s">
        <v>33</v>
      </c>
      <c r="B1" s="38"/>
      <c r="C1" s="38"/>
      <c r="D1" s="38"/>
    </row>
    <row r="2" spans="1:4" ht="13.2" x14ac:dyDescent="0.25">
      <c r="A2" s="14" t="s">
        <v>34</v>
      </c>
      <c r="B2" s="14" t="s">
        <v>13</v>
      </c>
      <c r="C2" s="14" t="s">
        <v>14</v>
      </c>
      <c r="D2" s="14" t="s">
        <v>15</v>
      </c>
    </row>
    <row r="3" spans="1:4" ht="15.75" customHeight="1" x14ac:dyDescent="0.25">
      <c r="A3" s="15" t="s">
        <v>35</v>
      </c>
      <c r="B3" s="9">
        <f>C3*6/1000</f>
        <v>10049.214</v>
      </c>
      <c r="C3" s="8">
        <v>1674869</v>
      </c>
      <c r="D3" s="10">
        <v>6118</v>
      </c>
    </row>
    <row r="4" spans="1:4" ht="15.75" customHeight="1" x14ac:dyDescent="0.25">
      <c r="A4" s="2" t="s">
        <v>36</v>
      </c>
      <c r="B4" s="9">
        <f>C4*6/1000</f>
        <v>16688.580000000002</v>
      </c>
      <c r="C4" s="7">
        <v>2781430</v>
      </c>
      <c r="D4" s="11">
        <v>2431</v>
      </c>
    </row>
    <row r="5" spans="1:4" ht="15.75" customHeight="1" x14ac:dyDescent="0.25">
      <c r="A5" s="15" t="s">
        <v>37</v>
      </c>
      <c r="B5" s="9">
        <f>C5*6/1000</f>
        <v>1877.5920000000001</v>
      </c>
      <c r="C5" s="8">
        <v>312932</v>
      </c>
      <c r="D5" s="10">
        <v>343</v>
      </c>
    </row>
    <row r="9" spans="1:4" ht="15.75" customHeight="1" x14ac:dyDescent="0.3">
      <c r="A9" s="37"/>
      <c r="B9" s="38"/>
      <c r="C9" s="38"/>
      <c r="D9" s="38"/>
    </row>
    <row r="11" spans="1:4" ht="15.75" customHeight="1" x14ac:dyDescent="0.25">
      <c r="A11" s="39"/>
      <c r="B11" s="38"/>
      <c r="C11" s="38"/>
      <c r="D11" s="38"/>
    </row>
    <row r="12" spans="1:4" ht="15.75" customHeight="1" x14ac:dyDescent="0.25">
      <c r="A12" s="39"/>
      <c r="B12" s="38"/>
      <c r="C12" s="38"/>
      <c r="D12" s="38"/>
    </row>
    <row r="13" spans="1:4" ht="13.2" x14ac:dyDescent="0.25">
      <c r="A13" s="39"/>
      <c r="B13" s="38"/>
      <c r="C13" s="38"/>
      <c r="D13" s="38"/>
    </row>
    <row r="14" spans="1:4" ht="13.2" x14ac:dyDescent="0.25">
      <c r="A14" s="39"/>
      <c r="B14" s="38"/>
      <c r="C14" s="38"/>
      <c r="D14" s="38"/>
    </row>
    <row r="15" spans="1:4" ht="13.2" x14ac:dyDescent="0.25">
      <c r="A15" s="39"/>
      <c r="B15" s="38"/>
      <c r="C15" s="38"/>
      <c r="D15" s="38"/>
    </row>
    <row r="16" spans="1:4" ht="13.2" x14ac:dyDescent="0.25">
      <c r="A16" s="39"/>
      <c r="B16" s="38"/>
      <c r="C16" s="38"/>
      <c r="D16" s="38"/>
    </row>
    <row r="17" spans="1:4" ht="13.2" x14ac:dyDescent="0.25">
      <c r="A17" s="39"/>
      <c r="B17" s="38"/>
      <c r="C17" s="38"/>
      <c r="D17" s="38"/>
    </row>
    <row r="18" spans="1:4" ht="13.2" x14ac:dyDescent="0.25">
      <c r="A18" s="39"/>
      <c r="B18" s="38"/>
      <c r="C18" s="38"/>
      <c r="D18" s="38"/>
    </row>
    <row r="19" spans="1:4" ht="13.2" x14ac:dyDescent="0.25">
      <c r="A19" s="39"/>
      <c r="B19" s="38"/>
      <c r="C19" s="38"/>
      <c r="D19" s="38"/>
    </row>
    <row r="20" spans="1:4" ht="13.2" x14ac:dyDescent="0.25">
      <c r="A20" s="39"/>
      <c r="B20" s="38"/>
      <c r="C20" s="38"/>
      <c r="D20" s="38"/>
    </row>
    <row r="21" spans="1:4" ht="13.2" x14ac:dyDescent="0.25">
      <c r="A21" s="39"/>
      <c r="B21" s="38"/>
      <c r="C21" s="38"/>
      <c r="D21" s="38"/>
    </row>
    <row r="22" spans="1:4" ht="13.2" x14ac:dyDescent="0.25">
      <c r="A22" s="39"/>
      <c r="B22" s="38"/>
      <c r="C22" s="38"/>
      <c r="D22" s="38"/>
    </row>
    <row r="23" spans="1:4" ht="13.2" x14ac:dyDescent="0.25">
      <c r="A23" s="39"/>
      <c r="B23" s="38"/>
      <c r="C23" s="38"/>
      <c r="D23" s="38"/>
    </row>
    <row r="24" spans="1:4" ht="13.2" x14ac:dyDescent="0.25">
      <c r="A24" s="39"/>
      <c r="B24" s="38"/>
      <c r="C24" s="38"/>
      <c r="D24" s="38"/>
    </row>
    <row r="25" spans="1:4" ht="13.2" x14ac:dyDescent="0.25">
      <c r="A25" s="39"/>
      <c r="B25" s="38"/>
      <c r="C25" s="38"/>
      <c r="D25" s="38"/>
    </row>
    <row r="26" spans="1:4" ht="13.2" x14ac:dyDescent="0.25">
      <c r="A26" s="39"/>
      <c r="B26" s="38"/>
      <c r="C26" s="38"/>
      <c r="D26" s="38"/>
    </row>
    <row r="27" spans="1:4" ht="13.2" x14ac:dyDescent="0.25">
      <c r="A27" s="39"/>
      <c r="B27" s="38"/>
      <c r="C27" s="38"/>
      <c r="D27" s="38"/>
    </row>
    <row r="28" spans="1:4" ht="13.2" x14ac:dyDescent="0.25">
      <c r="A28" s="39"/>
      <c r="B28" s="38"/>
      <c r="C28" s="38"/>
      <c r="D28" s="38"/>
    </row>
    <row r="29" spans="1:4" ht="13.2" x14ac:dyDescent="0.25">
      <c r="A29" s="39"/>
      <c r="B29" s="38"/>
      <c r="C29" s="38"/>
      <c r="D29" s="38"/>
    </row>
  </sheetData>
  <mergeCells count="21">
    <mergeCell ref="A25:D25"/>
    <mergeCell ref="A26:D26"/>
    <mergeCell ref="A27:D27"/>
    <mergeCell ref="A28:D28"/>
    <mergeCell ref="A29:D29"/>
    <mergeCell ref="A14:D14"/>
    <mergeCell ref="A22:D22"/>
    <mergeCell ref="A23:D23"/>
    <mergeCell ref="A24:D24"/>
    <mergeCell ref="A15:D15"/>
    <mergeCell ref="A16:D16"/>
    <mergeCell ref="A17:D17"/>
    <mergeCell ref="A18:D18"/>
    <mergeCell ref="A19:D19"/>
    <mergeCell ref="A20:D20"/>
    <mergeCell ref="A21:D21"/>
    <mergeCell ref="A1:D1"/>
    <mergeCell ref="A9:D9"/>
    <mergeCell ref="A11:D11"/>
    <mergeCell ref="A12:D12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B8" sqref="B8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1" t="s">
        <v>38</v>
      </c>
      <c r="B1" s="38"/>
    </row>
    <row r="3" spans="1:2" ht="13.2" x14ac:dyDescent="0.25">
      <c r="A3" s="14" t="s">
        <v>39</v>
      </c>
      <c r="B3" s="14" t="s">
        <v>12</v>
      </c>
    </row>
    <row r="4" spans="1:2" ht="13.2" x14ac:dyDescent="0.25">
      <c r="A4" s="5" t="s">
        <v>40</v>
      </c>
      <c r="B4" s="15" t="s">
        <v>41</v>
      </c>
    </row>
    <row r="5" spans="1:2" ht="13.2" x14ac:dyDescent="0.25">
      <c r="A5" s="1" t="s">
        <v>42</v>
      </c>
      <c r="B5" s="2" t="s">
        <v>43</v>
      </c>
    </row>
    <row r="6" spans="1:2" ht="13.2" x14ac:dyDescent="0.25">
      <c r="A6" s="5" t="s">
        <v>44</v>
      </c>
      <c r="B6" s="15" t="s">
        <v>3</v>
      </c>
    </row>
    <row r="7" spans="1:2" ht="13.2" x14ac:dyDescent="0.25">
      <c r="A7" s="1" t="s">
        <v>4</v>
      </c>
      <c r="B7" s="2" t="s">
        <v>71</v>
      </c>
    </row>
    <row r="8" spans="1:2" ht="13.2" x14ac:dyDescent="0.25">
      <c r="A8" s="5" t="s">
        <v>45</v>
      </c>
      <c r="B8" s="15" t="s">
        <v>46</v>
      </c>
    </row>
    <row r="9" spans="1:2" ht="13.2" x14ac:dyDescent="0.25">
      <c r="A9" s="1" t="s">
        <v>7</v>
      </c>
      <c r="B9" s="2" t="s">
        <v>8</v>
      </c>
    </row>
    <row r="10" spans="1:2" ht="13.2" x14ac:dyDescent="0.25">
      <c r="A10" s="5" t="s">
        <v>47</v>
      </c>
      <c r="B10" s="15"/>
    </row>
    <row r="11" spans="1:2" ht="13.2" x14ac:dyDescent="0.25">
      <c r="A11" s="1" t="s">
        <v>48</v>
      </c>
      <c r="B11" s="2" t="s">
        <v>49</v>
      </c>
    </row>
    <row r="12" spans="1:2" ht="13.2" x14ac:dyDescent="0.25">
      <c r="A12" s="5" t="s">
        <v>50</v>
      </c>
      <c r="B12" s="15" t="s">
        <v>51</v>
      </c>
    </row>
    <row r="13" spans="1:2" ht="13.2" x14ac:dyDescent="0.25">
      <c r="A13" s="1" t="s">
        <v>52</v>
      </c>
      <c r="B13" s="2" t="s">
        <v>53</v>
      </c>
    </row>
    <row r="14" spans="1:2" ht="13.2" x14ac:dyDescent="0.25">
      <c r="A14" s="5" t="s">
        <v>54</v>
      </c>
      <c r="B14" s="15" t="s">
        <v>55</v>
      </c>
    </row>
    <row r="16" spans="1:2" ht="15.6" x14ac:dyDescent="0.3">
      <c r="A16" s="17" t="s">
        <v>56</v>
      </c>
      <c r="B16" s="17"/>
    </row>
    <row r="17" spans="1:2" ht="13.2" x14ac:dyDescent="0.25">
      <c r="A17" s="39"/>
      <c r="B17" s="38"/>
    </row>
    <row r="18" spans="1:2" ht="13.2" x14ac:dyDescent="0.25">
      <c r="A18" s="39"/>
      <c r="B18" s="38"/>
    </row>
    <row r="19" spans="1:2" ht="13.2" x14ac:dyDescent="0.25">
      <c r="A19" s="39"/>
      <c r="B19" s="38"/>
    </row>
    <row r="20" spans="1:2" ht="13.2" x14ac:dyDescent="0.25">
      <c r="A20" s="39"/>
      <c r="B20" s="38"/>
    </row>
    <row r="21" spans="1:2" ht="13.2" x14ac:dyDescent="0.25">
      <c r="A21" s="39"/>
      <c r="B21" s="38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Anthony Passaretti</cp:lastModifiedBy>
  <dcterms:created xsi:type="dcterms:W3CDTF">2026-04-10T14:18:40Z</dcterms:created>
  <dcterms:modified xsi:type="dcterms:W3CDTF">2026-08-04T15:46:56Z</dcterms:modified>
</cp:coreProperties>
</file>