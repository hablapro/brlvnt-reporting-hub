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pro/Downloads/"/>
    </mc:Choice>
  </mc:AlternateContent>
  <xr:revisionPtr revIDLastSave="0" documentId="8_{1AB36C45-F323-134D-AE3D-507FC134F1A6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<sst xmlns="http://schemas.openxmlformats.org/spreadsheetml/2006/main" count="23" uniqueCount="23">
  <si>
    <t>Month</t>
  </si>
  <si>
    <t>Total Cost</t>
  </si>
  <si>
    <t>Total CTR</t>
  </si>
  <si>
    <t>Profit Loss LTD</t>
  </si>
  <si>
    <t>Impressions</t>
  </si>
  <si>
    <t>Clicks</t>
  </si>
  <si>
    <t>CTR%</t>
  </si>
  <si>
    <t>Unique Sessions</t>
  </si>
  <si>
    <t>CPS</t>
  </si>
  <si>
    <t>CPA</t>
  </si>
  <si>
    <t>CPF</t>
  </si>
  <si>
    <t>CPT</t>
  </si>
  <si>
    <t>App Starts</t>
  </si>
  <si>
    <t>App Starts Rate</t>
  </si>
  <si>
    <t>Submitted</t>
  </si>
  <si>
    <t>Submitted Rate</t>
  </si>
  <si>
    <t>Live_Apps_Submitted</t>
  </si>
  <si>
    <t>Approved</t>
  </si>
  <si>
    <t>Approved Rate</t>
  </si>
  <si>
    <t>Funded</t>
  </si>
  <si>
    <t>Funded Rate</t>
  </si>
  <si>
    <t>Traded</t>
  </si>
  <si>
    <t>Traded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</si>
</sst>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mmmm\ yyyy"/>
    <numFmt numFmtId="165" formatCode="\$#,##0;\(\$#,##0\);\$#,##0"/>
    <numFmt numFmtId="166" formatCode="0.00%;\-0.00%;0.00%"/>
    <numFmt numFmtId="167" formatCode="0%;\-0%;0%"/>
    <numFmt numFmtId="172" formatCode="0.0%"/>
  </numFmts>
  <fonts count="4">
    <font>
      <sz val="12"/>
      <name val="Aptos Narrow"/>
    </font>
    <font>
      <sz val="12"/>
      <name val="Aptos Narrow"/>
    </font>
    <font>
      <sz val="12"/>
      <name val="Calibri"/>
      <family val="2"/>
    </font>
    <font>
      <i/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164" fontId="0" fillId="0" borderId="2" xfId="0" applyNumberFormat="1" applyBorder="1"/>
    <xf numFmtId="165" fontId="0" fillId="0" borderId="0" xfId="0" applyNumberFormat="1"/>
    <xf numFmtId="3" fontId="0" fillId="0" borderId="0" xfId="0" applyNumberFormat="1"/>
    <xf numFmtId="167" fontId="0" fillId="0" borderId="0" xfId="0" applyNumberFormat="1"/>
    <xf numFmtId="172" fontId="0" fillId="0" borderId="0" xfId="1" applyNumberFormat="1" applyFont="1"/>
    <xf numFmtId="6" fontId="2" fillId="0" borderId="0" xfId="0" applyNumberFormat="1" applyFont="1"/>
    <xf numFmtId="0" fontId="3" fillId="2" borderId="1" xfId="0" applyFont="1" applyFill="1" applyBorder="1"/>
    <xf numFmtId="1" fontId="3" fillId="2" borderId="0" xfId="0" applyNumberFormat="1" applyFont="1" applyFill="1"/>
    <xf numFmtId="165" fontId="3" fillId="2" borderId="0" xfId="0" applyNumberFormat="1" applyFont="1" applyFill="1"/>
    <xf numFmtId="3" fontId="3" fillId="2" borderId="0" xfId="0" applyNumberFormat="1" applyFont="1" applyFill="1"/>
    <xf numFmtId="166" fontId="3" fillId="2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workbookViewId="0">
      <selection activeCell="C10" sqref="C10"/>
    </sheetView>
  </sheetViews>
  <sheetFormatPr baseColWidth="10" defaultRowHeight="16"/>
  <cols>
    <col min="1" max="1" width="14" customWidth="1"/>
    <col min="2" max="2" width="9.83203125" customWidth="1"/>
    <col min="3" max="4" width="12.6640625" bestFit="1" customWidth="1"/>
    <col min="6" max="6" width="7.83203125" bestFit="1" customWidth="1"/>
    <col min="7" max="7" width="7" bestFit="1" customWidth="1"/>
    <col min="8" max="8" width="14.1640625" bestFit="1" customWidth="1"/>
    <col min="9" max="9" width="4.5" bestFit="1" customWidth="1"/>
    <col min="10" max="11" width="5.1640625" bestFit="1" customWidth="1"/>
    <col min="12" max="12" width="7.1640625" customWidth="1"/>
    <col min="13" max="13" width="9.33203125" bestFit="1" customWidth="1"/>
    <col min="14" max="14" width="13.5" bestFit="1" customWidth="1"/>
    <col min="15" max="15" width="9.5" bestFit="1" customWidth="1"/>
    <col min="16" max="16" width="13.6640625" bestFit="1" customWidth="1"/>
    <col min="17" max="17" width="18.33203125" bestFit="1" customWidth="1"/>
    <col min="18" max="18" width="8.6640625" bestFit="1" customWidth="1"/>
    <col min="19" max="19" width="12.83203125" bestFit="1" customWidth="1"/>
    <col min="20" max="20" width="7.1640625" bestFit="1" customWidth="1"/>
    <col min="21" max="21" width="11.33203125" bestFit="1" customWidth="1"/>
    <col min="22" max="22" width="6.6640625" bestFit="1" customWidth="1"/>
  </cols>
  <sheetData>
    <row r="1" spans="1:23">
      <c r="A1" s="1" t="s">
        <v>0</v>
      </c>
      <c r="B1" s="1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46053</v>
      </c>
      <c r="B2" s="7">
        <v>1717</v>
      </c>
      <c r="C2" s="9">
        <v>32651.383801</v>
      </c>
      <c r="D2" s="10">
        <f>C2-B2</f>
        <v>30934.383801</v>
      </c>
      <c r="E2" s="11">
        <v>1181221</v>
      </c>
      <c r="F2" s="11">
        <v>3600</v>
      </c>
      <c r="G2" s="12">
        <v>3.0476938693098075E-3</v>
      </c>
      <c r="H2" s="11">
        <v>36834</v>
      </c>
      <c r="I2" s="10">
        <v>10.159620370305554</v>
      </c>
      <c r="J2" s="10">
        <v>38.098576388645824</v>
      </c>
      <c r="K2" s="10">
        <v>174.16492063380949</v>
      </c>
      <c r="L2" s="10">
        <v>203.19240740611107</v>
      </c>
      <c r="M2" s="4">
        <v>3415</v>
      </c>
      <c r="N2" s="5">
        <v>9.2713254058750069E-2</v>
      </c>
      <c r="O2" s="4">
        <v>1080</v>
      </c>
      <c r="P2" s="5">
        <v>0.31625183016105418</v>
      </c>
      <c r="Q2" s="4">
        <v>1016</v>
      </c>
      <c r="R2" s="4">
        <v>288</v>
      </c>
      <c r="S2" s="5">
        <v>0.26666666666666666</v>
      </c>
      <c r="T2" s="4">
        <v>63</v>
      </c>
      <c r="U2" s="5">
        <v>0.21875</v>
      </c>
      <c r="V2" s="4">
        <v>54</v>
      </c>
      <c r="W2" s="5">
        <v>0.8571428571428571</v>
      </c>
    </row>
    <row r="3" spans="1:23">
      <c r="A3" s="2">
        <v>46081</v>
      </c>
      <c r="B3" s="7">
        <v>20578</v>
      </c>
      <c r="C3" s="9">
        <v>149877.11245500002</v>
      </c>
      <c r="D3" s="10">
        <f t="shared" ref="D3:D7" si="0">C3-B3</f>
        <v>129299.11245500002</v>
      </c>
      <c r="E3" s="11">
        <v>10107575</v>
      </c>
      <c r="F3" s="11">
        <v>18080</v>
      </c>
      <c r="G3" s="12">
        <v>1.7887574418196254E-3</v>
      </c>
      <c r="H3" s="11">
        <v>48064</v>
      </c>
      <c r="I3" s="10">
        <v>21.394772295939291</v>
      </c>
      <c r="J3" s="10">
        <v>67.92195783108437</v>
      </c>
      <c r="K3" s="10">
        <v>524.42069767255839</v>
      </c>
      <c r="L3" s="10">
        <v>578.20743589538495</v>
      </c>
      <c r="M3" s="4">
        <v>9667</v>
      </c>
      <c r="N3" s="5">
        <v>0.20112766311584554</v>
      </c>
      <c r="O3" s="4">
        <v>1054</v>
      </c>
      <c r="P3" s="5">
        <v>0.10903072307851454</v>
      </c>
      <c r="Q3" s="4">
        <v>1001</v>
      </c>
      <c r="R3" s="4">
        <v>332</v>
      </c>
      <c r="S3" s="5">
        <v>0.31499051233396586</v>
      </c>
      <c r="T3" s="4">
        <v>43</v>
      </c>
      <c r="U3" s="5">
        <v>0.12951807228915663</v>
      </c>
      <c r="V3" s="4">
        <v>39</v>
      </c>
      <c r="W3" s="5">
        <v>0.90697674418604646</v>
      </c>
    </row>
    <row r="4" spans="1:23">
      <c r="A4" s="2">
        <v>46112</v>
      </c>
      <c r="B4" s="7">
        <v>42424</v>
      </c>
      <c r="C4" s="9">
        <v>10968.648857999999</v>
      </c>
      <c r="D4" s="10">
        <f t="shared" si="0"/>
        <v>-31455.351142</v>
      </c>
      <c r="E4" s="11">
        <v>13645040</v>
      </c>
      <c r="F4" s="11">
        <v>65065</v>
      </c>
      <c r="G4" s="12">
        <v>4.7683993597673587E-3</v>
      </c>
      <c r="H4" s="11">
        <v>62783</v>
      </c>
      <c r="I4" s="10">
        <v>28.277025813613918</v>
      </c>
      <c r="J4" s="10">
        <v>101.18405622461847</v>
      </c>
      <c r="K4" s="10">
        <v>559.88511110955551</v>
      </c>
      <c r="L4" s="10">
        <v>629.87074999824995</v>
      </c>
      <c r="M4" s="4">
        <v>4832</v>
      </c>
      <c r="N4" s="5">
        <v>7.6963509230205632E-2</v>
      </c>
      <c r="O4" s="4">
        <v>891</v>
      </c>
      <c r="P4" s="5">
        <v>0.18439569536423842</v>
      </c>
      <c r="Q4" s="4">
        <v>837</v>
      </c>
      <c r="R4" s="4">
        <v>249</v>
      </c>
      <c r="S4" s="5">
        <v>0.27946127946127947</v>
      </c>
      <c r="T4" s="4">
        <v>45</v>
      </c>
      <c r="U4" s="5">
        <v>0.18072289156626506</v>
      </c>
      <c r="V4" s="4">
        <v>40</v>
      </c>
      <c r="W4" s="5">
        <v>0.88888888888888884</v>
      </c>
    </row>
    <row r="5" spans="1:23">
      <c r="A5" s="2">
        <v>46142</v>
      </c>
      <c r="B5" s="7">
        <v>46294</v>
      </c>
      <c r="C5" s="9">
        <v>6417.585004999999</v>
      </c>
      <c r="D5" s="10">
        <f t="shared" si="0"/>
        <v>-39876.414994999999</v>
      </c>
      <c r="E5" s="11">
        <v>3584709</v>
      </c>
      <c r="F5" s="11">
        <v>58389</v>
      </c>
      <c r="G5" s="12">
        <v>1.6288351439405543E-2</v>
      </c>
      <c r="H5" s="11">
        <v>61682</v>
      </c>
      <c r="I5" s="10">
        <v>25.534025806580651</v>
      </c>
      <c r="J5" s="10">
        <v>96.062475728640791</v>
      </c>
      <c r="K5" s="10">
        <v>732.92111111481495</v>
      </c>
      <c r="L5" s="10">
        <v>824.53625000416685</v>
      </c>
      <c r="M5" s="4">
        <v>3342</v>
      </c>
      <c r="N5" s="5">
        <v>5.4181122531694825E-2</v>
      </c>
      <c r="O5" s="4">
        <v>775</v>
      </c>
      <c r="P5" s="5">
        <v>0.23189706762417714</v>
      </c>
      <c r="Q5" s="4">
        <v>732</v>
      </c>
      <c r="R5" s="4">
        <v>206</v>
      </c>
      <c r="S5" s="5">
        <v>0.26580645161290323</v>
      </c>
      <c r="T5" s="4">
        <v>27</v>
      </c>
      <c r="U5" s="5">
        <v>0.13106796116504854</v>
      </c>
      <c r="V5" s="4">
        <v>24</v>
      </c>
      <c r="W5" s="5">
        <v>0.88888888888888884</v>
      </c>
    </row>
    <row r="6" spans="1:23">
      <c r="A6" s="2">
        <v>46173</v>
      </c>
      <c r="B6" s="7">
        <v>78790</v>
      </c>
      <c r="C6" s="9">
        <v>15674.610390000002</v>
      </c>
      <c r="D6" s="10">
        <f t="shared" si="0"/>
        <v>-63115.389609999998</v>
      </c>
      <c r="E6" s="11">
        <v>1194</v>
      </c>
      <c r="F6" s="11">
        <v>42</v>
      </c>
      <c r="G6" s="12">
        <v>3.5175879396984924E-2</v>
      </c>
      <c r="H6" s="11">
        <v>43387</v>
      </c>
      <c r="I6" s="10">
        <v>14.79358322735705</v>
      </c>
      <c r="J6" s="10">
        <v>60.638281249635412</v>
      </c>
      <c r="K6" s="10">
        <v>447.79038461269226</v>
      </c>
      <c r="L6" s="10">
        <v>485.1062499970833</v>
      </c>
      <c r="M6" s="4">
        <v>3289</v>
      </c>
      <c r="N6" s="5">
        <v>7.5806117039666263E-2</v>
      </c>
      <c r="O6" s="4">
        <v>787</v>
      </c>
      <c r="P6" s="5">
        <v>0.23928245667376102</v>
      </c>
      <c r="Q6" s="4">
        <v>737</v>
      </c>
      <c r="R6" s="4">
        <v>192</v>
      </c>
      <c r="S6" s="5">
        <v>0.24396442185514614</v>
      </c>
      <c r="T6" s="4">
        <v>26</v>
      </c>
      <c r="U6" s="5">
        <v>0.13541666666666666</v>
      </c>
      <c r="V6" s="4">
        <v>24</v>
      </c>
      <c r="W6" s="5">
        <v>0.92307692307692313</v>
      </c>
    </row>
    <row r="7" spans="1:23">
      <c r="A7" s="2">
        <v>46203</v>
      </c>
      <c r="B7" s="7">
        <v>120393</v>
      </c>
      <c r="C7" s="9">
        <v>606.18688399999996</v>
      </c>
      <c r="D7" s="10">
        <f t="shared" si="0"/>
        <v>-119786.813116</v>
      </c>
      <c r="E7" s="11">
        <v>1116</v>
      </c>
      <c r="F7" s="11">
        <v>28</v>
      </c>
      <c r="G7" s="12">
        <v>2.5089605734767026E-2</v>
      </c>
      <c r="H7" s="11">
        <v>43462</v>
      </c>
      <c r="I7" s="10">
        <v>17.800839694809159</v>
      </c>
      <c r="J7" s="10">
        <v>62.018882979255316</v>
      </c>
      <c r="K7" s="10">
        <v>582.97750000500002</v>
      </c>
      <c r="L7" s="10">
        <v>685.85588235882358</v>
      </c>
      <c r="M7" s="4">
        <v>4409</v>
      </c>
      <c r="N7" s="5">
        <v>0.10144494040771249</v>
      </c>
      <c r="O7" s="4">
        <v>655</v>
      </c>
      <c r="P7" s="5">
        <v>0.1485597641188478</v>
      </c>
      <c r="Q7" s="4">
        <v>619</v>
      </c>
      <c r="R7" s="4">
        <v>188</v>
      </c>
      <c r="S7" s="5">
        <v>0.28702290076335879</v>
      </c>
      <c r="T7" s="4">
        <v>20</v>
      </c>
      <c r="U7" s="5">
        <v>0.10638297872340426</v>
      </c>
      <c r="V7" s="4">
        <v>17</v>
      </c>
      <c r="W7" s="5">
        <v>0.85</v>
      </c>
    </row>
    <row r="8" spans="1:23">
      <c r="G8" s="6"/>
    </row>
    <row r="9" spans="1:23">
      <c r="D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Renzo Proano</cp:lastModifiedBy>
  <dcterms:created xsi:type="dcterms:W3CDTF">2026-07-07T07:32:01Z</dcterms:created>
  <dcterms:modified xsi:type="dcterms:W3CDTF">2026-07-07T07:32:01Z</dcterms:modified>
</cp:coreProperties>
</file>