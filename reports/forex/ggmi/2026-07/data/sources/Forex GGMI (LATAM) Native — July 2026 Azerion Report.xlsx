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thony.passaretti\Desktop\"/>
    </mc:Choice>
  </mc:AlternateContent>
  <xr:revisionPtr revIDLastSave="0" documentId="13_ncr:1_{5821209B-E24B-45F2-8643-78F7EEC1C09B}" xr6:coauthVersionLast="47" xr6:coauthVersionMax="47" xr10:uidLastSave="{00000000-0000-0000-0000-000000000000}"/>
  <bookViews>
    <workbookView xWindow="-17055" yWindow="-21720" windowWidth="38640" windowHeight="21840" xr2:uid="{00000000-000D-0000-FFFF-FFFF00000000}"/>
  </bookViews>
  <sheets>
    <sheet name="Summary" sheetId="1" r:id="rId1"/>
    <sheet name="Performance" sheetId="2" r:id="rId2"/>
    <sheet name="Diagnostics" sheetId="3" r:id="rId3"/>
    <sheet name="Data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H15" i="2"/>
  <c r="H14" i="2"/>
  <c r="H13" i="2"/>
  <c r="H12" i="2"/>
  <c r="E16" i="2"/>
  <c r="E15" i="2"/>
  <c r="E14" i="2"/>
  <c r="E13" i="2"/>
  <c r="E12" i="2"/>
  <c r="B5" i="3"/>
  <c r="B4" i="3"/>
  <c r="B3" i="3"/>
  <c r="B16" i="2"/>
  <c r="B15" i="2"/>
  <c r="B14" i="2"/>
  <c r="B13" i="2"/>
  <c r="B12" i="2"/>
  <c r="I7" i="2"/>
  <c r="I6" i="2"/>
  <c r="I5" i="2"/>
  <c r="I4" i="2"/>
  <c r="I3" i="2"/>
  <c r="I2" i="2"/>
  <c r="L7" i="2"/>
  <c r="L6" i="2"/>
  <c r="L5" i="2"/>
  <c r="L4" i="2"/>
  <c r="L3" i="2"/>
  <c r="L2" i="2"/>
  <c r="K8" i="2"/>
  <c r="F7" i="2"/>
  <c r="F6" i="2"/>
  <c r="F5" i="2"/>
  <c r="F4" i="2"/>
  <c r="F3" i="2"/>
  <c r="F2" i="2"/>
  <c r="E8" i="2"/>
  <c r="D8" i="2"/>
  <c r="C7" i="2"/>
  <c r="H7" i="2" s="1"/>
  <c r="C6" i="2"/>
  <c r="H6" i="2" s="1"/>
  <c r="C5" i="2"/>
  <c r="H5" i="2" s="1"/>
  <c r="C4" i="2"/>
  <c r="C3" i="2"/>
  <c r="C2" i="2"/>
  <c r="B18" i="1"/>
  <c r="B15" i="1"/>
  <c r="B12" i="1"/>
  <c r="L8" i="2" l="1"/>
  <c r="F8" i="2"/>
  <c r="I8" i="2"/>
  <c r="H2" i="2"/>
  <c r="H3" i="2"/>
  <c r="H4" i="2"/>
  <c r="C8" i="2"/>
  <c r="H8" i="2" l="1"/>
  <c r="I13" i="2" l="1"/>
  <c r="I14" i="2"/>
  <c r="I16" i="2"/>
  <c r="I12" i="2"/>
  <c r="I15" i="2"/>
</calcChain>
</file>

<file path=xl/sharedStrings.xml><?xml version="1.0" encoding="utf-8"?>
<sst xmlns="http://schemas.openxmlformats.org/spreadsheetml/2006/main" count="108" uniqueCount="79">
  <si>
    <t>Client</t>
  </si>
  <si>
    <t>Geo</t>
  </si>
  <si>
    <t>Reporting Period</t>
  </si>
  <si>
    <t>Channel</t>
  </si>
  <si>
    <t>Currency</t>
  </si>
  <si>
    <t>USD</t>
  </si>
  <si>
    <t>Attribution</t>
  </si>
  <si>
    <t>Data Freshness</t>
  </si>
  <si>
    <t>KPI</t>
  </si>
  <si>
    <t>Value</t>
  </si>
  <si>
    <t>Spend</t>
  </si>
  <si>
    <t>Impressions</t>
  </si>
  <si>
    <t>Clicks</t>
  </si>
  <si>
    <t>CTR</t>
  </si>
  <si>
    <t>CPM</t>
  </si>
  <si>
    <t>Device Reach</t>
  </si>
  <si>
    <t>Device Frequency</t>
  </si>
  <si>
    <t>Viewability</t>
  </si>
  <si>
    <t>Campaign</t>
  </si>
  <si>
    <t>Ad Set</t>
  </si>
  <si>
    <t>CPC</t>
  </si>
  <si>
    <t>Total</t>
  </si>
  <si>
    <t>Week</t>
  </si>
  <si>
    <t>Reach</t>
  </si>
  <si>
    <t>Frequency</t>
  </si>
  <si>
    <t>Device</t>
  </si>
  <si>
    <t>Desktop</t>
  </si>
  <si>
    <t>Smartphone</t>
  </si>
  <si>
    <t>Tablet</t>
  </si>
  <si>
    <t>Data Notes</t>
  </si>
  <si>
    <t>Field</t>
  </si>
  <si>
    <t>Source Platform</t>
  </si>
  <si>
    <t>Azerion</t>
  </si>
  <si>
    <t>Account</t>
  </si>
  <si>
    <t>Forex (ID: 9969644)</t>
  </si>
  <si>
    <t>Geo Filter</t>
  </si>
  <si>
    <t>Timezone</t>
  </si>
  <si>
    <t>America/New_York</t>
  </si>
  <si>
    <t>Attribution Model</t>
  </si>
  <si>
    <t>Click Definition</t>
  </si>
  <si>
    <t>Clicks (Advanced IVT) — filtered, excludes invalid traffic</t>
  </si>
  <si>
    <t>Reach Definition</t>
  </si>
  <si>
    <t>Device Reach — unique devices, not unique people</t>
  </si>
  <si>
    <t>Frequency Definition</t>
  </si>
  <si>
    <t>Device Frequency — impressions per unique device</t>
  </si>
  <si>
    <t>Viewability Standard</t>
  </si>
  <si>
    <t>IAB — Viewable Impressions / Measured Impressions</t>
  </si>
  <si>
    <t>Known Limitations</t>
  </si>
  <si>
    <t>LATAM</t>
  </si>
  <si>
    <t xml:space="preserve">Forex / GGMI </t>
  </si>
  <si>
    <t>Executive Summary</t>
  </si>
  <si>
    <t>Campaign Highlights</t>
  </si>
  <si>
    <t>Suggested Optimizations</t>
  </si>
  <si>
    <t>Next Steps</t>
  </si>
  <si>
    <t>Jul 1st–31st, 2026</t>
  </si>
  <si>
    <t>Jul 1st-31stth, 2026</t>
  </si>
  <si>
    <t>Viewable Imps</t>
  </si>
  <si>
    <t>July 1-7</t>
  </si>
  <si>
    <t>July 8-14</t>
  </si>
  <si>
    <t>July 15-21</t>
  </si>
  <si>
    <t>July 22-28</t>
  </si>
  <si>
    <t>July 29-31</t>
  </si>
  <si>
    <t>Forex GGMI  (LATAM) Native — July 2026 Azerion Report</t>
  </si>
  <si>
    <t>Native (Azerion)</t>
  </si>
  <si>
    <t>Device Type Breakdown — Upper Funnel Campaign</t>
  </si>
  <si>
    <t>Weekly Trend — Upper Funnel Campaign</t>
  </si>
  <si>
    <t>Double Screen Closeup</t>
  </si>
  <si>
    <t>News Double Screen</t>
  </si>
  <si>
    <t>Screen Graphs Down View</t>
  </si>
  <si>
    <t>Trader Close View</t>
  </si>
  <si>
    <t>Trader Double Screen View</t>
  </si>
  <si>
    <t>Upper View Graphs</t>
  </si>
  <si>
    <t>Ramping up scale to build awareness for the Conversion campaign.</t>
  </si>
  <si>
    <t>Viewability (77%) and frequency (1.8) are strong to start.</t>
  </si>
  <si>
    <t>CTR improved considerably and is over 0.3% by the end of July.</t>
  </si>
  <si>
    <t>CTR went from 0.10% week 1 to 0.31% by the final week.</t>
  </si>
  <si>
    <t>Viewability was consistently mid-to-high 70%s all month.</t>
  </si>
  <si>
    <t>Continue increasing CTR to drive users farther down the funnel.</t>
  </si>
  <si>
    <t>Add Lucid study and explore Audio tactic.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</si>
</sst>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 d\,\ yyyy"/>
    <numFmt numFmtId="165" formatCode="&quot;$&quot;#,##0.00"/>
    <numFmt numFmtId="166" formatCode="_-[$$-409]* #,##0.00_ ;_-[$$-409]* \-#,##0.00\ ;_-[$$-409]* &quot;-&quot;??_ ;_-@_ "/>
    <numFmt numFmtId="167" formatCode="_(* #,##0_);_(* \(#,##0\);_(* &quot;-&quot;??_);_(@_)"/>
  </numFmts>
  <fonts count="13" x14ac:knownFonts="1">
    <font>
      <sz val="10"/>
      <color rgb="FF000000"/>
      <name val="Arial"/>
      <scheme val="minor"/>
    </font>
    <font>
      <b/>
      <sz val="16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3"/>
      <color rgb="FF1A2A39"/>
      <name val="Arial"/>
      <family val="2"/>
    </font>
    <font>
      <b/>
      <sz val="10"/>
      <color rgb="FFFFFFFF"/>
      <name val="Arial"/>
      <family val="2"/>
    </font>
    <font>
      <b/>
      <sz val="12"/>
      <color rgb="FF1A2A39"/>
      <name val="Arial"/>
      <family val="2"/>
    </font>
    <font>
      <b/>
      <sz val="14"/>
      <color rgb="FFFFFFFF"/>
      <name val="Arial"/>
      <family val="2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A2A39"/>
        <bgColor rgb="FF1A2A39"/>
      </patternFill>
    </fill>
    <fill>
      <patternFill patternType="solid">
        <fgColor rgb="FFF3F3F3"/>
        <bgColor rgb="FFF3F3F3"/>
      </patternFill>
    </fill>
    <fill>
      <patternFill patternType="solid">
        <fgColor rgb="FF3A5897"/>
        <bgColor rgb="FF3A5897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4" tint="0.39997558519241921"/>
        <bgColor theme="4" tint="0.39997558519241921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52">
    <xf numFmtId="0" fontId="0" fillId="0" borderId="0" xfId="0"/>
    <xf numFmtId="0" fontId="2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0" fontId="2" fillId="5" borderId="0" xfId="0" applyFont="1" applyFill="1"/>
    <xf numFmtId="10" fontId="5" fillId="0" borderId="0" xfId="0" applyNumberFormat="1" applyFont="1"/>
    <xf numFmtId="3" fontId="3" fillId="3" borderId="0" xfId="0" applyNumberFormat="1" applyFont="1" applyFill="1" applyAlignment="1">
      <alignment horizontal="right"/>
    </xf>
    <xf numFmtId="3" fontId="3" fillId="5" borderId="0" xfId="0" applyNumberFormat="1" applyFont="1" applyFill="1" applyAlignment="1">
      <alignment horizontal="right"/>
    </xf>
    <xf numFmtId="165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0" fontId="7" fillId="4" borderId="0" xfId="0" applyFont="1" applyFill="1"/>
    <xf numFmtId="0" fontId="3" fillId="5" borderId="0" xfId="0" applyFont="1" applyFill="1"/>
    <xf numFmtId="10" fontId="3" fillId="5" borderId="0" xfId="0" applyNumberFormat="1" applyFont="1" applyFill="1" applyAlignment="1">
      <alignment horizontal="right"/>
    </xf>
    <xf numFmtId="0" fontId="2" fillId="3" borderId="1" xfId="0" applyFont="1" applyFill="1" applyBorder="1"/>
    <xf numFmtId="0" fontId="8" fillId="0" borderId="0" xfId="0" applyFont="1"/>
    <xf numFmtId="166" fontId="0" fillId="0" borderId="2" xfId="0" applyNumberFormat="1" applyBorder="1"/>
    <xf numFmtId="10" fontId="0" fillId="0" borderId="2" xfId="0" applyNumberFormat="1" applyBorder="1"/>
    <xf numFmtId="166" fontId="0" fillId="6" borderId="3" xfId="0" applyNumberFormat="1" applyFill="1" applyBorder="1"/>
    <xf numFmtId="10" fontId="0" fillId="6" borderId="3" xfId="0" applyNumberFormat="1" applyFill="1" applyBorder="1"/>
    <xf numFmtId="0" fontId="0" fillId="0" borderId="2" xfId="0" applyBorder="1" applyAlignment="1">
      <alignment horizontal="left" indent="1"/>
    </xf>
    <xf numFmtId="166" fontId="10" fillId="7" borderId="2" xfId="0" applyNumberFormat="1" applyFont="1" applyFill="1" applyBorder="1"/>
    <xf numFmtId="10" fontId="10" fillId="7" borderId="2" xfId="0" applyNumberFormat="1" applyFont="1" applyFill="1" applyBorder="1"/>
    <xf numFmtId="166" fontId="3" fillId="5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  <xf numFmtId="0" fontId="3" fillId="0" borderId="0" xfId="0" applyFont="1" applyAlignment="1">
      <alignment wrapText="1"/>
    </xf>
    <xf numFmtId="0" fontId="6" fillId="0" borderId="0" xfId="0" applyFont="1"/>
    <xf numFmtId="0" fontId="3" fillId="0" borderId="0" xfId="0" applyFont="1"/>
    <xf numFmtId="10" fontId="10" fillId="0" borderId="2" xfId="0" applyNumberFormat="1" applyFont="1" applyBorder="1"/>
    <xf numFmtId="166" fontId="0" fillId="0" borderId="0" xfId="0" applyNumberFormat="1"/>
    <xf numFmtId="0" fontId="11" fillId="0" borderId="0" xfId="0" applyFont="1"/>
    <xf numFmtId="167" fontId="0" fillId="6" borderId="3" xfId="1" applyNumberFormat="1" applyFont="1" applyFill="1" applyBorder="1"/>
    <xf numFmtId="44" fontId="0" fillId="6" borderId="3" xfId="2" applyFont="1" applyFill="1" applyBorder="1"/>
    <xf numFmtId="43" fontId="0" fillId="6" borderId="3" xfId="0" applyNumberFormat="1" applyFill="1" applyBorder="1"/>
    <xf numFmtId="43" fontId="10" fillId="7" borderId="2" xfId="1" applyFont="1" applyFill="1" applyBorder="1"/>
    <xf numFmtId="167" fontId="10" fillId="7" borderId="2" xfId="1" applyNumberFormat="1" applyFont="1" applyFill="1" applyBorder="1"/>
    <xf numFmtId="43" fontId="0" fillId="0" borderId="2" xfId="1" applyFont="1" applyBorder="1"/>
    <xf numFmtId="167" fontId="0" fillId="0" borderId="2" xfId="1" applyNumberFormat="1" applyFont="1" applyBorder="1"/>
    <xf numFmtId="44" fontId="0" fillId="0" borderId="2" xfId="2" applyFont="1" applyBorder="1"/>
    <xf numFmtId="43" fontId="3" fillId="5" borderId="0" xfId="1" applyFont="1" applyFill="1" applyAlignment="1">
      <alignment horizontal="right"/>
    </xf>
    <xf numFmtId="167" fontId="3" fillId="5" borderId="0" xfId="1" applyNumberFormat="1" applyFont="1" applyFill="1" applyAlignment="1">
      <alignment horizontal="right"/>
    </xf>
    <xf numFmtId="167" fontId="3" fillId="3" borderId="0" xfId="1" applyNumberFormat="1" applyFont="1" applyFill="1" applyAlignment="1">
      <alignment horizontal="right"/>
    </xf>
    <xf numFmtId="0" fontId="3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8" fillId="0" borderId="0" xfId="0" applyFont="1"/>
    <xf numFmtId="0" fontId="9" fillId="2" borderId="0" xfId="0" applyFont="1" applyFill="1" applyAlignment="1">
      <alignment vertical="center"/>
    </xf>
    <xf numFmtId="44" fontId="10" fillId="7" borderId="2" xfId="2" applyFont="1" applyFill="1" applyBorder="1"/>
    <xf numFmtId="43" fontId="0" fillId="0" borderId="0" xfId="0" applyNumberFormat="1"/>
    <xf numFmtId="3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8"/>
  <sheetViews>
    <sheetView showGridLines="0" tabSelected="1" workbookViewId="0">
      <pane ySplit="1" topLeftCell="A2" activePane="bottomLeft" state="frozen"/>
      <selection pane="bottomLeft" sqref="A1:E1"/>
    </sheetView>
  </sheetViews>
  <sheetFormatPr defaultColWidth="12.6640625" defaultRowHeight="15.75" customHeight="1" x14ac:dyDescent="0.25"/>
  <cols>
    <col min="1" max="1" width="108.109375" bestFit="1" customWidth="1"/>
    <col min="2" max="2" width="43.88671875" customWidth="1"/>
    <col min="6" max="26" width="12.6640625" hidden="1"/>
  </cols>
  <sheetData>
    <row r="1" spans="1:5" ht="37.5" customHeight="1" x14ac:dyDescent="0.25">
      <c r="A1" s="46" t="s">
        <v>62</v>
      </c>
      <c r="B1" s="45"/>
      <c r="C1" s="45"/>
      <c r="D1" s="45"/>
      <c r="E1" s="45"/>
    </row>
    <row r="3" spans="1:5" ht="13.2" x14ac:dyDescent="0.25">
      <c r="A3" s="1" t="s">
        <v>0</v>
      </c>
      <c r="B3" s="2" t="s">
        <v>49</v>
      </c>
    </row>
    <row r="4" spans="1:5" ht="13.2" x14ac:dyDescent="0.25">
      <c r="A4" s="1" t="s">
        <v>1</v>
      </c>
      <c r="B4" s="2" t="s">
        <v>48</v>
      </c>
    </row>
    <row r="5" spans="1:5" ht="13.2" x14ac:dyDescent="0.25">
      <c r="A5" s="1" t="s">
        <v>2</v>
      </c>
      <c r="B5" s="2" t="s">
        <v>54</v>
      </c>
    </row>
    <row r="6" spans="1:5" ht="13.2" x14ac:dyDescent="0.25">
      <c r="A6" s="1" t="s">
        <v>3</v>
      </c>
      <c r="B6" s="2" t="s">
        <v>63</v>
      </c>
    </row>
    <row r="7" spans="1:5" ht="13.2" x14ac:dyDescent="0.25">
      <c r="A7" s="1" t="s">
        <v>4</v>
      </c>
      <c r="B7" s="2" t="s">
        <v>5</v>
      </c>
    </row>
    <row r="8" spans="1:5" ht="13.2" x14ac:dyDescent="0.25">
      <c r="A8" s="1" t="s">
        <v>6</v>
      </c>
      <c r="B8" s="2"/>
    </row>
    <row r="9" spans="1:5" ht="13.2" x14ac:dyDescent="0.25">
      <c r="A9" s="1" t="s">
        <v>7</v>
      </c>
      <c r="B9" s="3"/>
    </row>
    <row r="11" spans="1:5" ht="13.8" x14ac:dyDescent="0.25">
      <c r="A11" s="4" t="s">
        <v>8</v>
      </c>
      <c r="B11" s="4" t="s">
        <v>9</v>
      </c>
    </row>
    <row r="12" spans="1:5" ht="13.2" x14ac:dyDescent="0.25">
      <c r="A12" s="5" t="s">
        <v>10</v>
      </c>
      <c r="B12" s="20">
        <f>B16*B13/1000</f>
        <v>16026.567999999999</v>
      </c>
      <c r="D12" s="6"/>
    </row>
    <row r="13" spans="1:5" ht="13.2" x14ac:dyDescent="0.25">
      <c r="A13" s="1" t="s">
        <v>11</v>
      </c>
      <c r="B13" s="33">
        <v>2003321</v>
      </c>
    </row>
    <row r="14" spans="1:5" ht="13.2" x14ac:dyDescent="0.25">
      <c r="A14" s="5" t="s">
        <v>12</v>
      </c>
      <c r="B14" s="33">
        <v>4886</v>
      </c>
    </row>
    <row r="15" spans="1:5" ht="13.2" x14ac:dyDescent="0.25">
      <c r="A15" s="1" t="s">
        <v>13</v>
      </c>
      <c r="B15" s="21">
        <f>B14/B13</f>
        <v>2.4389501233202269E-3</v>
      </c>
    </row>
    <row r="16" spans="1:5" ht="13.2" x14ac:dyDescent="0.25">
      <c r="A16" s="5" t="s">
        <v>14</v>
      </c>
      <c r="B16" s="34">
        <v>8</v>
      </c>
    </row>
    <row r="17" spans="1:5" ht="13.2" x14ac:dyDescent="0.25">
      <c r="A17" s="1" t="s">
        <v>15</v>
      </c>
      <c r="B17" s="33">
        <v>1094732</v>
      </c>
    </row>
    <row r="18" spans="1:5" ht="13.2" x14ac:dyDescent="0.25">
      <c r="A18" s="5" t="s">
        <v>16</v>
      </c>
      <c r="B18" s="35">
        <f>B13/B17</f>
        <v>1.8299647767672818</v>
      </c>
    </row>
    <row r="19" spans="1:5" ht="13.2" x14ac:dyDescent="0.25">
      <c r="A19" s="12"/>
    </row>
    <row r="20" spans="1:5" ht="13.2" x14ac:dyDescent="0.25">
      <c r="A20" s="1" t="s">
        <v>17</v>
      </c>
      <c r="B20" s="21">
        <v>0.77339999999999998</v>
      </c>
    </row>
    <row r="22" spans="1:5" ht="16.8" x14ac:dyDescent="0.3">
      <c r="A22" s="28"/>
    </row>
    <row r="23" spans="1:5" ht="16.8" x14ac:dyDescent="0.3">
      <c r="A23" s="28" t="s">
        <v>50</v>
      </c>
    </row>
    <row r="24" spans="1:5" ht="13.2" x14ac:dyDescent="0.25">
      <c r="A24" s="44" t="s">
        <v>72</v>
      </c>
      <c r="B24" s="45"/>
      <c r="C24" s="45"/>
      <c r="D24" s="45"/>
      <c r="E24" s="45"/>
    </row>
    <row r="25" spans="1:5" ht="13.2" x14ac:dyDescent="0.25">
      <c r="A25" s="32" t="s">
        <v>73</v>
      </c>
    </row>
    <row r="26" spans="1:5" ht="15.75" customHeight="1" x14ac:dyDescent="0.25">
      <c r="A26" s="32" t="s">
        <v>74</v>
      </c>
    </row>
    <row r="28" spans="1:5" ht="15.75" customHeight="1" x14ac:dyDescent="0.3">
      <c r="A28" s="28" t="s">
        <v>51</v>
      </c>
    </row>
    <row r="29" spans="1:5" ht="15.75" customHeight="1" x14ac:dyDescent="0.25">
      <c r="A29" s="27" t="s">
        <v>75</v>
      </c>
    </row>
    <row r="30" spans="1:5" ht="15.75" customHeight="1" x14ac:dyDescent="0.25">
      <c r="A30" s="32" t="s">
        <v>76</v>
      </c>
    </row>
    <row r="31" spans="1:5" ht="15.75" customHeight="1" x14ac:dyDescent="0.25">
      <c r="A31" s="27"/>
    </row>
    <row r="32" spans="1:5" ht="15.75" customHeight="1" x14ac:dyDescent="0.25">
      <c r="A32" s="32"/>
    </row>
    <row r="33" spans="1:5" ht="15.75" customHeight="1" x14ac:dyDescent="0.3">
      <c r="A33" s="28" t="s">
        <v>52</v>
      </c>
    </row>
    <row r="34" spans="1:5" ht="15.75" customHeight="1" x14ac:dyDescent="0.25">
      <c r="A34" s="27" t="s">
        <v>77</v>
      </c>
    </row>
    <row r="35" spans="1:5" ht="15.75" customHeight="1" x14ac:dyDescent="0.25">
      <c r="A35" s="27"/>
    </row>
    <row r="37" spans="1:5" ht="15.75" customHeight="1" x14ac:dyDescent="0.3">
      <c r="A37" s="28" t="s">
        <v>53</v>
      </c>
    </row>
    <row r="38" spans="1:5" ht="15.75" customHeight="1" x14ac:dyDescent="0.25">
      <c r="A38" s="44" t="s">
        <v>78</v>
      </c>
      <c r="B38" s="45"/>
      <c r="C38" s="45"/>
      <c r="D38" s="45"/>
      <c r="E38" s="45"/>
    </row>
  </sheetData>
  <mergeCells count="3">
    <mergeCell ref="A24:E24"/>
    <mergeCell ref="A1:E1"/>
    <mergeCell ref="A38:E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20"/>
  <sheetViews>
    <sheetView showGridLines="0" workbookViewId="0">
      <pane ySplit="1" topLeftCell="A2" activePane="bottomLeft" state="frozen"/>
      <selection pane="bottomLeft" activeCell="A16" sqref="A16"/>
    </sheetView>
  </sheetViews>
  <sheetFormatPr defaultColWidth="12.6640625" defaultRowHeight="15.75" customHeight="1" x14ac:dyDescent="0.25"/>
  <cols>
    <col min="1" max="1" width="12.21875" bestFit="1" customWidth="1"/>
    <col min="2" max="2" width="25.109375" customWidth="1"/>
    <col min="3" max="5" width="12.6640625" customWidth="1"/>
    <col min="6" max="6" width="12.6640625" style="31" customWidth="1"/>
    <col min="7" max="7" width="13.44140625" bestFit="1" customWidth="1"/>
    <col min="8" max="9" width="12.6640625" customWidth="1"/>
    <col min="10" max="10" width="16.6640625" style="31" bestFit="1" customWidth="1"/>
    <col min="11" max="11" width="14.109375" bestFit="1" customWidth="1"/>
    <col min="12" max="12" width="12.6640625" customWidth="1"/>
    <col min="13" max="13" width="14.109375" bestFit="1" customWidth="1"/>
    <col min="14" max="14" width="12.6640625" customWidth="1"/>
    <col min="15" max="27" width="12.6640625" hidden="1"/>
  </cols>
  <sheetData>
    <row r="1" spans="1:28" ht="13.2" x14ac:dyDescent="0.25">
      <c r="A1" s="13" t="s">
        <v>18</v>
      </c>
      <c r="B1" s="13" t="s">
        <v>19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20</v>
      </c>
      <c r="I1" s="13" t="s">
        <v>15</v>
      </c>
      <c r="J1" s="13" t="s">
        <v>16</v>
      </c>
      <c r="K1" s="13" t="s">
        <v>56</v>
      </c>
      <c r="L1" s="13" t="s">
        <v>17</v>
      </c>
    </row>
    <row r="2" spans="1:28" ht="15.75" customHeight="1" x14ac:dyDescent="0.25">
      <c r="A2" s="22" t="s">
        <v>48</v>
      </c>
      <c r="B2" s="22" t="s">
        <v>66</v>
      </c>
      <c r="C2" s="18">
        <f>D2*G2/1000</f>
        <v>2393.4319999999998</v>
      </c>
      <c r="D2" s="39">
        <v>299179</v>
      </c>
      <c r="E2" s="39">
        <v>827</v>
      </c>
      <c r="F2" s="19">
        <f>E2/D2</f>
        <v>2.7642314467258731E-3</v>
      </c>
      <c r="G2" s="40">
        <v>8</v>
      </c>
      <c r="H2" s="18">
        <f>C2/E2</f>
        <v>2.8941136638452236</v>
      </c>
      <c r="I2" s="39">
        <f>D2/J2</f>
        <v>163488.93913057368</v>
      </c>
      <c r="J2" s="38">
        <v>1.8299647767672818</v>
      </c>
      <c r="K2" s="39">
        <v>258201</v>
      </c>
      <c r="L2" s="19">
        <f>K2/D2</f>
        <v>0.86303183044264475</v>
      </c>
    </row>
    <row r="3" spans="1:28" ht="15.75" customHeight="1" x14ac:dyDescent="0.25">
      <c r="A3" s="22" t="s">
        <v>48</v>
      </c>
      <c r="B3" s="22" t="s">
        <v>67</v>
      </c>
      <c r="C3" s="18">
        <f t="shared" ref="C3:C7" si="0">D3*G3/1000</f>
        <v>2420.9360000000001</v>
      </c>
      <c r="D3" s="39">
        <v>302617</v>
      </c>
      <c r="E3" s="39">
        <v>805</v>
      </c>
      <c r="F3" s="19">
        <f t="shared" ref="F3:F7" si="1">E3/D3</f>
        <v>2.6601281487821241E-3</v>
      </c>
      <c r="G3" s="40">
        <v>8</v>
      </c>
      <c r="H3" s="18">
        <f t="shared" ref="H3:H7" si="2">C3/E3</f>
        <v>3.0073739130434785</v>
      </c>
      <c r="I3" s="39">
        <f t="shared" ref="I3:I7" si="3">D3/J3</f>
        <v>165367.66381623317</v>
      </c>
      <c r="J3" s="38">
        <v>1.8299647767672818</v>
      </c>
      <c r="K3" s="39">
        <v>257219</v>
      </c>
      <c r="L3" s="19">
        <f>K3/D3</f>
        <v>0.84998199043675671</v>
      </c>
    </row>
    <row r="4" spans="1:28" ht="15.75" customHeight="1" x14ac:dyDescent="0.25">
      <c r="A4" s="22" t="s">
        <v>48</v>
      </c>
      <c r="B4" s="22" t="s">
        <v>68</v>
      </c>
      <c r="C4" s="18">
        <f t="shared" si="0"/>
        <v>2423.2959999999998</v>
      </c>
      <c r="D4" s="39">
        <v>302912</v>
      </c>
      <c r="E4" s="39">
        <v>817</v>
      </c>
      <c r="F4" s="19">
        <f t="shared" si="1"/>
        <v>2.6971529685189096E-3</v>
      </c>
      <c r="G4" s="40">
        <v>8</v>
      </c>
      <c r="H4" s="18">
        <f t="shared" si="2"/>
        <v>2.9660905752753974</v>
      </c>
      <c r="I4" s="39">
        <f t="shared" si="3"/>
        <v>165528.86910485142</v>
      </c>
      <c r="J4" s="38">
        <v>1.8299647767672818</v>
      </c>
      <c r="K4" s="39">
        <v>259549</v>
      </c>
      <c r="L4" s="19">
        <f>K4/D4</f>
        <v>0.85684621276146211</v>
      </c>
    </row>
    <row r="5" spans="1:28" ht="15.75" customHeight="1" x14ac:dyDescent="0.25">
      <c r="A5" s="22" t="s">
        <v>48</v>
      </c>
      <c r="B5" s="22" t="s">
        <v>69</v>
      </c>
      <c r="C5" s="18">
        <f t="shared" si="0"/>
        <v>3319.9920000000002</v>
      </c>
      <c r="D5" s="39">
        <v>414999</v>
      </c>
      <c r="E5" s="39">
        <v>788</v>
      </c>
      <c r="F5" s="19">
        <f t="shared" si="1"/>
        <v>1.8987997561439908E-3</v>
      </c>
      <c r="G5" s="40">
        <v>8</v>
      </c>
      <c r="H5" s="18">
        <f t="shared" si="2"/>
        <v>4.2131878172588832</v>
      </c>
      <c r="I5" s="39">
        <f t="shared" si="3"/>
        <v>226779.77481791488</v>
      </c>
      <c r="J5" s="38">
        <v>1.8299647767672818</v>
      </c>
      <c r="K5" s="39">
        <v>255789</v>
      </c>
      <c r="L5" s="19">
        <f>K5/D5</f>
        <v>0.61636052135065389</v>
      </c>
    </row>
    <row r="6" spans="1:28" ht="15.75" customHeight="1" x14ac:dyDescent="0.25">
      <c r="A6" s="22" t="s">
        <v>48</v>
      </c>
      <c r="B6" s="22" t="s">
        <v>70</v>
      </c>
      <c r="C6" s="18">
        <f t="shared" si="0"/>
        <v>2442.904</v>
      </c>
      <c r="D6" s="39">
        <v>305363</v>
      </c>
      <c r="E6" s="39">
        <v>873</v>
      </c>
      <c r="F6" s="19">
        <f t="shared" si="1"/>
        <v>2.8588925311841974E-3</v>
      </c>
      <c r="G6" s="40">
        <v>8</v>
      </c>
      <c r="H6" s="18">
        <f t="shared" si="2"/>
        <v>2.7982863688430699</v>
      </c>
      <c r="I6" s="39">
        <f t="shared" si="3"/>
        <v>166868.23914689658</v>
      </c>
      <c r="J6" s="38">
        <v>1.8299647767672818</v>
      </c>
      <c r="K6" s="39">
        <v>264300</v>
      </c>
      <c r="L6" s="19">
        <f>K6/D6</f>
        <v>0.86552725772277583</v>
      </c>
    </row>
    <row r="7" spans="1:28" ht="15.75" customHeight="1" x14ac:dyDescent="0.25">
      <c r="A7" s="22" t="s">
        <v>48</v>
      </c>
      <c r="B7" s="22" t="s">
        <v>71</v>
      </c>
      <c r="C7" s="18">
        <f t="shared" si="0"/>
        <v>3026.0079999999998</v>
      </c>
      <c r="D7" s="39">
        <v>378251</v>
      </c>
      <c r="E7" s="39">
        <v>776</v>
      </c>
      <c r="F7" s="19">
        <f t="shared" si="1"/>
        <v>2.0515477817639608E-3</v>
      </c>
      <c r="G7" s="40">
        <v>8</v>
      </c>
      <c r="H7" s="18">
        <f t="shared" si="2"/>
        <v>3.8994948453608247</v>
      </c>
      <c r="I7" s="39">
        <f t="shared" si="3"/>
        <v>206698.51398353037</v>
      </c>
      <c r="J7" s="38">
        <v>1.8299647767672818</v>
      </c>
      <c r="K7" s="39">
        <v>254310</v>
      </c>
      <c r="L7" s="19">
        <f>K7/D7</f>
        <v>0.6723313355417434</v>
      </c>
    </row>
    <row r="8" spans="1:28" ht="13.8" x14ac:dyDescent="0.25">
      <c r="A8" s="16" t="s">
        <v>21</v>
      </c>
      <c r="B8" s="16"/>
      <c r="C8" s="23">
        <f>SUM(C2:C7)</f>
        <v>16026.568000000001</v>
      </c>
      <c r="D8" s="37">
        <f>SUM(D2:D7)</f>
        <v>2003321</v>
      </c>
      <c r="E8" s="37">
        <f>SUM(E2:E7)</f>
        <v>4886</v>
      </c>
      <c r="F8" s="24">
        <f>E8/D8</f>
        <v>2.4389501233202269E-3</v>
      </c>
      <c r="G8" s="49">
        <v>8</v>
      </c>
      <c r="H8" s="23">
        <f>C8/E8</f>
        <v>3.2800998772001639</v>
      </c>
      <c r="I8" s="37">
        <f>SUM(I2:I7)</f>
        <v>1094732.0000000002</v>
      </c>
      <c r="J8" s="36">
        <v>1.8299647767672818</v>
      </c>
      <c r="K8" s="37">
        <f>SUM(K2:K7)</f>
        <v>1549368</v>
      </c>
      <c r="L8" s="24">
        <f>K8/D8</f>
        <v>0.77339976968244228</v>
      </c>
    </row>
    <row r="9" spans="1:28" ht="15.75" customHeight="1" x14ac:dyDescent="0.25">
      <c r="F9"/>
      <c r="J9"/>
    </row>
    <row r="10" spans="1:28" ht="15.75" customHeight="1" x14ac:dyDescent="0.3">
      <c r="A10" s="47" t="s">
        <v>65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</row>
    <row r="11" spans="1:28" ht="13.2" x14ac:dyDescent="0.25">
      <c r="A11" s="13" t="s">
        <v>22</v>
      </c>
      <c r="B11" s="13" t="s">
        <v>10</v>
      </c>
      <c r="C11" s="13" t="s">
        <v>11</v>
      </c>
      <c r="D11" s="13" t="s">
        <v>12</v>
      </c>
      <c r="E11" s="13" t="s">
        <v>13</v>
      </c>
      <c r="F11" s="13" t="s">
        <v>14</v>
      </c>
      <c r="G11" s="13" t="s">
        <v>23</v>
      </c>
      <c r="H11" s="13" t="s">
        <v>24</v>
      </c>
      <c r="I11" s="13" t="s">
        <v>56</v>
      </c>
      <c r="J11" s="13" t="s">
        <v>17</v>
      </c>
    </row>
    <row r="12" spans="1:28" ht="15.75" customHeight="1" x14ac:dyDescent="0.25">
      <c r="A12" s="14" t="s">
        <v>57</v>
      </c>
      <c r="B12" s="25">
        <f>C12*F12/1000</f>
        <v>3651.04</v>
      </c>
      <c r="C12" s="42">
        <v>456380</v>
      </c>
      <c r="D12" s="42">
        <v>466</v>
      </c>
      <c r="E12" s="15">
        <f>D12/C12</f>
        <v>1.021078925456856E-3</v>
      </c>
      <c r="F12" s="25">
        <v>8</v>
      </c>
      <c r="G12" s="8">
        <v>312933</v>
      </c>
      <c r="H12" s="41">
        <f>C12/G12</f>
        <v>1.4583952475450017</v>
      </c>
      <c r="I12" s="42">
        <f>C12*J12</f>
        <v>345479.66</v>
      </c>
      <c r="J12" s="15">
        <v>0.75700000000000001</v>
      </c>
      <c r="AB12" s="50"/>
    </row>
    <row r="13" spans="1:28" ht="15.75" customHeight="1" x14ac:dyDescent="0.25">
      <c r="A13" s="2" t="s">
        <v>58</v>
      </c>
      <c r="B13" s="25">
        <f t="shared" ref="B13:B16" si="4">C13*F13/1000</f>
        <v>1079.6959999999999</v>
      </c>
      <c r="C13" s="43">
        <v>134962</v>
      </c>
      <c r="D13" s="43">
        <v>169</v>
      </c>
      <c r="E13" s="15">
        <f t="shared" ref="E13:E16" si="5">D13/C13</f>
        <v>1.2522043241801396E-3</v>
      </c>
      <c r="F13" s="26">
        <v>8</v>
      </c>
      <c r="G13" s="8">
        <v>106321</v>
      </c>
      <c r="H13" s="41">
        <f t="shared" ref="H13:H16" si="6">C13/G13</f>
        <v>1.2693823421525381</v>
      </c>
      <c r="I13" s="42">
        <f>C13*J13</f>
        <v>107902.11899999999</v>
      </c>
      <c r="J13" s="15">
        <v>0.79949999999999999</v>
      </c>
      <c r="AB13" s="50"/>
    </row>
    <row r="14" spans="1:28" ht="15.75" customHeight="1" x14ac:dyDescent="0.25">
      <c r="A14" s="14" t="s">
        <v>59</v>
      </c>
      <c r="B14" s="25">
        <f t="shared" si="4"/>
        <v>963.72799999999995</v>
      </c>
      <c r="C14" s="39">
        <v>120466</v>
      </c>
      <c r="D14" s="39">
        <v>92</v>
      </c>
      <c r="E14" s="15">
        <f t="shared" si="5"/>
        <v>7.6370096126707947E-4</v>
      </c>
      <c r="F14" s="18">
        <v>8</v>
      </c>
      <c r="G14" s="8">
        <v>86007</v>
      </c>
      <c r="H14" s="41">
        <f t="shared" si="6"/>
        <v>1.4006534351855082</v>
      </c>
      <c r="I14" s="42">
        <f>C14*J14</f>
        <v>86410.261800000007</v>
      </c>
      <c r="J14" s="15">
        <v>0.71730000000000005</v>
      </c>
      <c r="AB14" s="50"/>
    </row>
    <row r="15" spans="1:28" ht="15.75" customHeight="1" x14ac:dyDescent="0.25">
      <c r="A15" s="29" t="s">
        <v>60</v>
      </c>
      <c r="B15" s="25">
        <f t="shared" si="4"/>
        <v>4684.5280000000002</v>
      </c>
      <c r="C15" s="39">
        <v>585566</v>
      </c>
      <c r="D15" s="39">
        <v>1974</v>
      </c>
      <c r="E15" s="15">
        <f t="shared" si="5"/>
        <v>3.3710973656257363E-3</v>
      </c>
      <c r="F15" s="18">
        <v>8</v>
      </c>
      <c r="G15" s="8">
        <v>343965</v>
      </c>
      <c r="H15" s="41">
        <f t="shared" si="6"/>
        <v>1.7023999534836394</v>
      </c>
      <c r="I15" s="42">
        <f>C15*J15</f>
        <v>457444.15919999999</v>
      </c>
      <c r="J15" s="15">
        <v>0.78120000000000001</v>
      </c>
      <c r="K15" s="30"/>
      <c r="AB15" s="50"/>
    </row>
    <row r="16" spans="1:28" ht="15.75" customHeight="1" x14ac:dyDescent="0.25">
      <c r="A16" s="2" t="s">
        <v>61</v>
      </c>
      <c r="B16" s="25">
        <f t="shared" si="4"/>
        <v>5647.576</v>
      </c>
      <c r="C16" s="43">
        <v>705947</v>
      </c>
      <c r="D16" s="43">
        <v>2185</v>
      </c>
      <c r="E16" s="15">
        <f t="shared" si="5"/>
        <v>3.0951332040507289E-3</v>
      </c>
      <c r="F16" s="26">
        <v>8</v>
      </c>
      <c r="G16" s="8">
        <v>370739</v>
      </c>
      <c r="H16" s="41">
        <f t="shared" si="6"/>
        <v>1.9041616878720609</v>
      </c>
      <c r="I16" s="42">
        <f>C16*J16</f>
        <v>544285.13699999999</v>
      </c>
      <c r="J16" s="15">
        <v>0.77100000000000002</v>
      </c>
      <c r="AB16" s="50"/>
    </row>
    <row r="17" spans="9:14" ht="15.75" customHeight="1" x14ac:dyDescent="0.25">
      <c r="N17" s="50"/>
    </row>
    <row r="18" spans="9:14" ht="15.75" customHeight="1" x14ac:dyDescent="0.25">
      <c r="N18" s="50"/>
    </row>
    <row r="19" spans="9:14" ht="15.75" customHeight="1" x14ac:dyDescent="0.25">
      <c r="I19" s="51"/>
      <c r="N19" s="50"/>
    </row>
    <row r="20" spans="9:14" ht="15.75" customHeight="1" x14ac:dyDescent="0.25">
      <c r="I20" s="50"/>
      <c r="N20" s="50"/>
    </row>
  </sheetData>
  <mergeCells count="1">
    <mergeCell ref="A10:N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27"/>
  <sheetViews>
    <sheetView showGridLines="0" workbookViewId="0">
      <selection activeCell="D6" sqref="D6"/>
    </sheetView>
  </sheetViews>
  <sheetFormatPr defaultColWidth="12.6640625" defaultRowHeight="15.75" customHeight="1" x14ac:dyDescent="0.25"/>
  <cols>
    <col min="1" max="1" width="17.6640625" customWidth="1"/>
    <col min="2" max="4" width="15.109375" customWidth="1"/>
    <col min="5" max="24" width="12.6640625" hidden="1"/>
  </cols>
  <sheetData>
    <row r="1" spans="1:4" ht="15.75" customHeight="1" x14ac:dyDescent="0.3">
      <c r="A1" s="47" t="s">
        <v>64</v>
      </c>
      <c r="B1" s="45"/>
      <c r="C1" s="45"/>
      <c r="D1" s="45"/>
    </row>
    <row r="2" spans="1:4" ht="13.2" x14ac:dyDescent="0.25">
      <c r="A2" s="13" t="s">
        <v>25</v>
      </c>
      <c r="B2" s="13" t="s">
        <v>10</v>
      </c>
      <c r="C2" s="13" t="s">
        <v>11</v>
      </c>
      <c r="D2" s="13" t="s">
        <v>12</v>
      </c>
    </row>
    <row r="3" spans="1:4" ht="15.75" customHeight="1" x14ac:dyDescent="0.25">
      <c r="A3" s="14" t="s">
        <v>26</v>
      </c>
      <c r="B3" s="9">
        <f>C3*8/1000</f>
        <v>5066.1040000000003</v>
      </c>
      <c r="C3" s="8">
        <v>633263</v>
      </c>
      <c r="D3" s="10">
        <v>115</v>
      </c>
    </row>
    <row r="4" spans="1:4" ht="15.75" customHeight="1" x14ac:dyDescent="0.25">
      <c r="A4" s="2" t="s">
        <v>27</v>
      </c>
      <c r="B4" s="9">
        <f>C4*8/1000</f>
        <v>10549.376</v>
      </c>
      <c r="C4" s="7">
        <v>1318672</v>
      </c>
      <c r="D4" s="11">
        <v>4455</v>
      </c>
    </row>
    <row r="5" spans="1:4" ht="15.75" customHeight="1" x14ac:dyDescent="0.25">
      <c r="A5" s="14" t="s">
        <v>28</v>
      </c>
      <c r="B5" s="9">
        <f>C5*8/1000</f>
        <v>411.08800000000002</v>
      </c>
      <c r="C5" s="8">
        <v>51386</v>
      </c>
      <c r="D5" s="10">
        <v>316</v>
      </c>
    </row>
    <row r="7" spans="1:4" ht="15.75" customHeight="1" x14ac:dyDescent="0.3">
      <c r="A7" s="47"/>
      <c r="B7" s="45"/>
      <c r="C7" s="45"/>
      <c r="D7" s="45"/>
    </row>
    <row r="9" spans="1:4" ht="15.75" customHeight="1" x14ac:dyDescent="0.25">
      <c r="A9" s="44"/>
      <c r="B9" s="45"/>
      <c r="C9" s="45"/>
      <c r="D9" s="45"/>
    </row>
    <row r="10" spans="1:4" ht="15.75" customHeight="1" x14ac:dyDescent="0.25">
      <c r="A10" s="44"/>
      <c r="B10" s="45"/>
      <c r="C10" s="45"/>
      <c r="D10" s="45"/>
    </row>
    <row r="11" spans="1:4" ht="13.2" x14ac:dyDescent="0.25">
      <c r="A11" s="44"/>
      <c r="B11" s="45"/>
      <c r="C11" s="45"/>
      <c r="D11" s="45"/>
    </row>
    <row r="12" spans="1:4" ht="13.2" x14ac:dyDescent="0.25">
      <c r="A12" s="44"/>
      <c r="B12" s="45"/>
      <c r="C12" s="45"/>
      <c r="D12" s="45"/>
    </row>
    <row r="13" spans="1:4" ht="13.2" x14ac:dyDescent="0.25">
      <c r="A13" s="44"/>
      <c r="B13" s="45"/>
      <c r="C13" s="45"/>
      <c r="D13" s="45"/>
    </row>
    <row r="14" spans="1:4" ht="13.2" x14ac:dyDescent="0.25">
      <c r="A14" s="44"/>
      <c r="B14" s="45"/>
      <c r="C14" s="45"/>
      <c r="D14" s="45"/>
    </row>
    <row r="15" spans="1:4" ht="13.2" x14ac:dyDescent="0.25">
      <c r="A15" s="44"/>
      <c r="B15" s="45"/>
      <c r="C15" s="45"/>
      <c r="D15" s="45"/>
    </row>
    <row r="16" spans="1:4" ht="13.2" x14ac:dyDescent="0.25">
      <c r="A16" s="44"/>
      <c r="B16" s="45"/>
      <c r="C16" s="45"/>
      <c r="D16" s="45"/>
    </row>
    <row r="17" spans="1:4" ht="13.2" x14ac:dyDescent="0.25">
      <c r="A17" s="44"/>
      <c r="B17" s="45"/>
      <c r="C17" s="45"/>
      <c r="D17" s="45"/>
    </row>
    <row r="18" spans="1:4" ht="13.2" x14ac:dyDescent="0.25">
      <c r="A18" s="44"/>
      <c r="B18" s="45"/>
      <c r="C18" s="45"/>
      <c r="D18" s="45"/>
    </row>
    <row r="19" spans="1:4" ht="13.2" x14ac:dyDescent="0.25">
      <c r="A19" s="44"/>
      <c r="B19" s="45"/>
      <c r="C19" s="45"/>
      <c r="D19" s="45"/>
    </row>
    <row r="20" spans="1:4" ht="13.2" x14ac:dyDescent="0.25">
      <c r="A20" s="44"/>
      <c r="B20" s="45"/>
      <c r="C20" s="45"/>
      <c r="D20" s="45"/>
    </row>
    <row r="21" spans="1:4" ht="13.2" x14ac:dyDescent="0.25">
      <c r="A21" s="44"/>
      <c r="B21" s="45"/>
      <c r="C21" s="45"/>
      <c r="D21" s="45"/>
    </row>
    <row r="22" spans="1:4" ht="13.2" x14ac:dyDescent="0.25">
      <c r="A22" s="44"/>
      <c r="B22" s="45"/>
      <c r="C22" s="45"/>
      <c r="D22" s="45"/>
    </row>
    <row r="23" spans="1:4" ht="13.2" x14ac:dyDescent="0.25">
      <c r="A23" s="44"/>
      <c r="B23" s="45"/>
      <c r="C23" s="45"/>
      <c r="D23" s="45"/>
    </row>
    <row r="24" spans="1:4" ht="13.2" x14ac:dyDescent="0.25">
      <c r="A24" s="44"/>
      <c r="B24" s="45"/>
      <c r="C24" s="45"/>
      <c r="D24" s="45"/>
    </row>
    <row r="25" spans="1:4" ht="13.2" x14ac:dyDescent="0.25">
      <c r="A25" s="44"/>
      <c r="B25" s="45"/>
      <c r="C25" s="45"/>
      <c r="D25" s="45"/>
    </row>
    <row r="26" spans="1:4" ht="13.2" x14ac:dyDescent="0.25">
      <c r="A26" s="44"/>
      <c r="B26" s="45"/>
      <c r="C26" s="45"/>
      <c r="D26" s="45"/>
    </row>
    <row r="27" spans="1:4" ht="13.2" x14ac:dyDescent="0.25">
      <c r="A27" s="44"/>
      <c r="B27" s="45"/>
      <c r="C27" s="45"/>
      <c r="D27" s="45"/>
    </row>
  </sheetData>
  <mergeCells count="21">
    <mergeCell ref="A1:D1"/>
    <mergeCell ref="A7:D7"/>
    <mergeCell ref="A9:D9"/>
    <mergeCell ref="A10:D10"/>
    <mergeCell ref="A11:D11"/>
    <mergeCell ref="A12:D12"/>
    <mergeCell ref="A20:D20"/>
    <mergeCell ref="A21:D21"/>
    <mergeCell ref="A22:D22"/>
    <mergeCell ref="A13:D13"/>
    <mergeCell ref="A14:D14"/>
    <mergeCell ref="A15:D15"/>
    <mergeCell ref="A16:D16"/>
    <mergeCell ref="A17:D17"/>
    <mergeCell ref="A18:D18"/>
    <mergeCell ref="A19:D19"/>
    <mergeCell ref="A23:D23"/>
    <mergeCell ref="A24:D24"/>
    <mergeCell ref="A25:D25"/>
    <mergeCell ref="A26:D26"/>
    <mergeCell ref="A27:D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1"/>
  <sheetViews>
    <sheetView showGridLines="0" workbookViewId="0">
      <selection sqref="A1:B1"/>
    </sheetView>
  </sheetViews>
  <sheetFormatPr defaultColWidth="12.6640625" defaultRowHeight="15.75" customHeight="1" x14ac:dyDescent="0.25"/>
  <cols>
    <col min="1" max="1" width="22.6640625" customWidth="1"/>
    <col min="2" max="2" width="62.6640625" customWidth="1"/>
    <col min="3" max="26" width="12.6640625" hidden="1"/>
  </cols>
  <sheetData>
    <row r="1" spans="1:2" ht="30" customHeight="1" x14ac:dyDescent="0.25">
      <c r="A1" s="48" t="s">
        <v>29</v>
      </c>
      <c r="B1" s="45"/>
    </row>
    <row r="3" spans="1:2" ht="13.2" x14ac:dyDescent="0.25">
      <c r="A3" s="13" t="s">
        <v>30</v>
      </c>
      <c r="B3" s="13" t="s">
        <v>9</v>
      </c>
    </row>
    <row r="4" spans="1:2" ht="13.2" x14ac:dyDescent="0.25">
      <c r="A4" s="5" t="s">
        <v>31</v>
      </c>
      <c r="B4" s="14" t="s">
        <v>32</v>
      </c>
    </row>
    <row r="5" spans="1:2" ht="13.2" x14ac:dyDescent="0.25">
      <c r="A5" s="1" t="s">
        <v>33</v>
      </c>
      <c r="B5" s="2" t="s">
        <v>34</v>
      </c>
    </row>
    <row r="6" spans="1:2" ht="13.2" x14ac:dyDescent="0.25">
      <c r="A6" s="5" t="s">
        <v>35</v>
      </c>
      <c r="B6" s="14" t="s">
        <v>48</v>
      </c>
    </row>
    <row r="7" spans="1:2" ht="13.2" x14ac:dyDescent="0.25">
      <c r="A7" s="1" t="s">
        <v>2</v>
      </c>
      <c r="B7" s="2" t="s">
        <v>55</v>
      </c>
    </row>
    <row r="8" spans="1:2" ht="13.2" x14ac:dyDescent="0.25">
      <c r="A8" s="5" t="s">
        <v>36</v>
      </c>
      <c r="B8" s="14" t="s">
        <v>37</v>
      </c>
    </row>
    <row r="9" spans="1:2" ht="13.2" x14ac:dyDescent="0.25">
      <c r="A9" s="1" t="s">
        <v>4</v>
      </c>
      <c r="B9" s="2" t="s">
        <v>5</v>
      </c>
    </row>
    <row r="10" spans="1:2" ht="13.2" x14ac:dyDescent="0.25">
      <c r="A10" s="5" t="s">
        <v>38</v>
      </c>
      <c r="B10" s="14"/>
    </row>
    <row r="11" spans="1:2" ht="13.2" x14ac:dyDescent="0.25">
      <c r="A11" s="1" t="s">
        <v>39</v>
      </c>
      <c r="B11" s="2" t="s">
        <v>40</v>
      </c>
    </row>
    <row r="12" spans="1:2" ht="13.2" x14ac:dyDescent="0.25">
      <c r="A12" s="5" t="s">
        <v>41</v>
      </c>
      <c r="B12" s="14" t="s">
        <v>42</v>
      </c>
    </row>
    <row r="13" spans="1:2" ht="13.2" x14ac:dyDescent="0.25">
      <c r="A13" s="1" t="s">
        <v>43</v>
      </c>
      <c r="B13" s="2" t="s">
        <v>44</v>
      </c>
    </row>
    <row r="14" spans="1:2" ht="13.2" x14ac:dyDescent="0.25">
      <c r="A14" s="5" t="s">
        <v>45</v>
      </c>
      <c r="B14" s="14" t="s">
        <v>46</v>
      </c>
    </row>
    <row r="16" spans="1:2" ht="15.6" x14ac:dyDescent="0.3">
      <c r="A16" s="17" t="s">
        <v>47</v>
      </c>
      <c r="B16" s="17"/>
    </row>
    <row r="17" spans="1:2" ht="13.2" x14ac:dyDescent="0.25">
      <c r="A17" s="44"/>
      <c r="B17" s="45"/>
    </row>
    <row r="18" spans="1:2" ht="13.2" x14ac:dyDescent="0.25">
      <c r="A18" s="44"/>
      <c r="B18" s="45"/>
    </row>
    <row r="19" spans="1:2" ht="13.2" x14ac:dyDescent="0.25">
      <c r="A19" s="44"/>
      <c r="B19" s="45"/>
    </row>
    <row r="20" spans="1:2" ht="13.2" x14ac:dyDescent="0.25">
      <c r="A20" s="44"/>
      <c r="B20" s="45"/>
    </row>
    <row r="21" spans="1:2" ht="13.2" x14ac:dyDescent="0.25">
      <c r="A21" s="44"/>
      <c r="B21" s="45"/>
    </row>
  </sheetData>
  <mergeCells count="6">
    <mergeCell ref="A21:B21"/>
    <mergeCell ref="A1:B1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Performance</vt:lpstr>
      <vt:lpstr>Diagnostics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Samaniego</dc:creator>
  <cp:lastModifiedBy>Anthony Passaretti</cp:lastModifiedBy>
  <dcterms:created xsi:type="dcterms:W3CDTF">2026-04-10T14:18:40Z</dcterms:created>
  <dcterms:modified xsi:type="dcterms:W3CDTF">2026-08-04T18:26:58Z</dcterms:modified>
</cp:coreProperties>
</file>