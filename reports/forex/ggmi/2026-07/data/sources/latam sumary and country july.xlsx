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pro/Downloads/"/>
    </mc:Choice>
  </mc:AlternateContent>
  <xr:revisionPtr revIDLastSave="0" documentId="13_ncr:1_{95F9AD72-6BE9-EC47-8C99-67F3716F275C}" xr6:coauthVersionLast="47" xr6:coauthVersionMax="47" xr10:uidLastSave="{00000000-0000-0000-0000-000000000000}"/>
  <bookViews>
    <workbookView xWindow="30240" yWindow="600" windowWidth="51200" windowHeight="26700" xr2:uid="{00000000-000D-0000-FFFF-FFFF00000000}"/>
  </bookViews>
  <sheets>
    <sheet name="Summary LATAM property" sheetId="1" r:id="rId1"/>
    <sheet name="CountryName_x0009_Total CTR_x0009_Unique 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M3" i="1"/>
  <c r="M4" i="1"/>
  <c r="M5" i="1"/>
  <c r="M6" i="1"/>
  <c r="M7" i="1"/>
  <c r="M8" i="1"/>
  <c r="M9" i="1"/>
  <c r="M10" i="1"/>
  <c r="M11" i="1"/>
  <c r="M12" i="1"/>
  <c r="M13" i="1"/>
  <c r="K3" i="1"/>
  <c r="K4" i="1"/>
  <c r="K5" i="1"/>
  <c r="K6" i="1"/>
  <c r="K7" i="1"/>
  <c r="K8" i="1"/>
  <c r="K9" i="1"/>
  <c r="K10" i="1"/>
  <c r="K11" i="1"/>
  <c r="K12" i="1"/>
  <c r="K13" i="1"/>
  <c r="H3" i="1"/>
  <c r="H4" i="1"/>
  <c r="H5" i="1"/>
  <c r="H6" i="1"/>
  <c r="H7" i="1"/>
  <c r="H8" i="1"/>
  <c r="H9" i="1"/>
  <c r="H10" i="1"/>
  <c r="H11" i="1"/>
  <c r="H12" i="1"/>
  <c r="H13" i="1"/>
  <c r="F3" i="1"/>
  <c r="F4" i="1"/>
  <c r="F5" i="1"/>
  <c r="F6" i="1"/>
  <c r="F7" i="1"/>
  <c r="F8" i="1"/>
  <c r="F9" i="1"/>
  <c r="F10" i="1"/>
  <c r="F11" i="1"/>
  <c r="F12" i="1"/>
  <c r="F13" i="1"/>
  <c r="O2" i="1"/>
  <c r="M2" i="1"/>
  <c r="K2" i="1"/>
  <c r="H2" i="1"/>
  <c r="F2" i="1"/>
  <c r="N9" i="1"/>
  <c r="L9" i="1"/>
  <c r="J9" i="1"/>
  <c r="I9" i="1"/>
  <c r="G9" i="1"/>
  <c r="E9" i="1"/>
  <c r="D9" i="1"/>
  <c r="N5" i="1"/>
  <c r="L5" i="1"/>
  <c r="J5" i="1"/>
  <c r="I5" i="1"/>
  <c r="G5" i="1"/>
  <c r="E5" i="1"/>
  <c r="D5" i="1"/>
</calcChain>
</file>

<file path=xl/sharedStrings.xml><?xml version="1.0" encoding="utf-8"?>
<sst xmlns="http://schemas.openxmlformats.org/spreadsheetml/2006/main" count="92" uniqueCount="69">
  <si>
    <t>Year</t>
  </si>
  <si>
    <t>Quarter</t>
  </si>
  <si>
    <t>Month</t>
  </si>
  <si>
    <t>Unique Sessions</t>
  </si>
  <si>
    <t>App Starts</t>
  </si>
  <si>
    <t>App Starts Rate</t>
  </si>
  <si>
    <t>Submitted</t>
  </si>
  <si>
    <t>Submitted Rate</t>
  </si>
  <si>
    <t>Live_Apps_Submitted</t>
  </si>
  <si>
    <t>Approved</t>
  </si>
  <si>
    <t>Approved Rate</t>
  </si>
  <si>
    <t>Funded</t>
  </si>
  <si>
    <t>Funded Rate</t>
  </si>
  <si>
    <t>Traded</t>
  </si>
  <si>
    <t>Traded Rate</t>
  </si>
  <si>
    <t>2026 Qtr 1</t>
  </si>
  <si>
    <t>Total</t>
  </si>
  <si>
    <t>2026 Qtr 2</t>
  </si>
  <si>
    <t>2026 Qtr 3</t>
  </si>
  <si>
    <t>CountryName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</si>
  <si>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</si>
  <si>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</si>
  <si>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</si>
  <si>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</si>
  <si>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</si>
  <si>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</si>
  <si>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</si>
  <si>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Aruba</t>
  </si>
  <si>
    <t>Bahamas</t>
  </si>
  <si>
    <t>Barbados</t>
  </si>
  <si>
    <t>Belize</t>
  </si>
  <si>
    <t>Bolivia</t>
  </si>
  <si>
    <t>Brazil</t>
  </si>
  <si>
    <t>Cape Verde</t>
  </si>
  <si>
    <t>Chile</t>
  </si>
  <si>
    <t>Colombia</t>
  </si>
  <si>
    <t>Costa Rica</t>
  </si>
  <si>
    <t>Curaçao</t>
  </si>
  <si>
    <t>Djibouti</t>
  </si>
  <si>
    <t>Dominica</t>
  </si>
  <si>
    <t>Dominican Republic</t>
  </si>
  <si>
    <t>Ecuador</t>
  </si>
  <si>
    <t>El Salvador</t>
  </si>
  <si>
    <t>Equatorial Guinea</t>
  </si>
  <si>
    <t>French Guiana</t>
  </si>
  <si>
    <t>Grenada</t>
  </si>
  <si>
    <t>Guadeloupe</t>
  </si>
  <si>
    <t>Guatemala</t>
  </si>
  <si>
    <t>Guyana</t>
  </si>
  <si>
    <t>Haiti</t>
  </si>
  <si>
    <t>Honduras</t>
  </si>
  <si>
    <t>Jamaica</t>
  </si>
  <si>
    <t>Kenya</t>
  </si>
  <si>
    <t>Martinique</t>
  </si>
  <si>
    <t>Mexico</t>
  </si>
  <si>
    <t>Morocco</t>
  </si>
  <si>
    <t>Mozambique</t>
  </si>
  <si>
    <t>NA</t>
  </si>
  <si>
    <t>Panama</t>
  </si>
  <si>
    <t>Paraguay</t>
  </si>
  <si>
    <t>Peru</t>
  </si>
  <si>
    <t>Saint Kitts and Nevis</t>
  </si>
  <si>
    <t>Saint Lucia</t>
  </si>
  <si>
    <t>Saint Vincent and the Grenadines</t>
  </si>
  <si>
    <t>Sint Maarten (Dutch part)</t>
  </si>
  <si>
    <t>Suriname</t>
  </si>
  <si>
    <t>Trinidad and Tobago</t>
  </si>
  <si>
    <t>Turks and Caicos Islands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</si>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</sst>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7" formatCode="0%;\-0%;0%"/>
  </numFmts>
  <fonts count="2" x14ac:knownFonts="1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2" xfId="0" applyNumberFormat="1" applyBorder="1"/>
    <xf numFmtId="3" fontId="0" fillId="0" borderId="0" xfId="0" applyNumberFormat="1"/>
    <xf numFmtId="167" fontId="0" fillId="0" borderId="0" xfId="0" applyNumberFormat="1"/>
    <xf numFmtId="3" fontId="1" fillId="0" borderId="0" xfId="0" applyNumberFormat="1" applyFont="1"/>
    <xf numFmtId="167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1" fontId="0" fillId="0" borderId="0" xfId="0" applyNumberFormat="1" applyAlignment="1">
      <alignment vertical="top"/>
    </xf>
    <xf numFmtId="0" fontId="0" fillId="0" borderId="0" xfId="0"/>
    <xf numFmtId="16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50" zoomScaleNormal="150" workbookViewId="0">
      <selection activeCell="G18" sqref="G18"/>
    </sheetView>
  </sheetViews>
  <sheetFormatPr baseColWidth="10" defaultRowHeight="16" x14ac:dyDescent="0.2"/>
  <cols>
    <col min="3" max="3" width="17.6640625" customWidth="1"/>
    <col min="6" max="6" width="13.5" bestFit="1" customWidth="1"/>
    <col min="7" max="7" width="9.5" bestFit="1" customWidth="1"/>
    <col min="8" max="8" width="13.6640625" bestFit="1" customWidth="1"/>
    <col min="9" max="9" width="18.33203125" bestFit="1" customWidth="1"/>
    <col min="10" max="10" width="8.6640625" bestFit="1" customWidth="1"/>
    <col min="11" max="11" width="12.83203125" bestFit="1" customWidth="1"/>
    <col min="12" max="12" width="7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2">
        <v>2026</v>
      </c>
      <c r="B2" s="9" t="s">
        <v>15</v>
      </c>
      <c r="C2" s="4">
        <v>46112</v>
      </c>
      <c r="D2" s="5">
        <v>62784</v>
      </c>
      <c r="E2" s="5">
        <v>4832</v>
      </c>
      <c r="F2" s="14">
        <f t="shared" ref="F2:F13" si="0">E2/D2</f>
        <v>7.6962283384301736E-2</v>
      </c>
      <c r="G2" s="5">
        <v>893</v>
      </c>
      <c r="H2" s="14">
        <f t="shared" ref="H2:H13" si="1">G2/E2</f>
        <v>0.18480960264900662</v>
      </c>
      <c r="I2" s="5">
        <v>839</v>
      </c>
      <c r="J2" s="5">
        <v>250</v>
      </c>
      <c r="K2" s="14">
        <f t="shared" ref="K2:K13" si="2">J2/G2</f>
        <v>0.27995520716685329</v>
      </c>
      <c r="L2" s="5">
        <v>46</v>
      </c>
      <c r="M2" s="14">
        <f t="shared" ref="M2:M13" si="3">L2/J2</f>
        <v>0.184</v>
      </c>
      <c r="N2" s="5">
        <v>41</v>
      </c>
      <c r="O2" s="14">
        <f t="shared" ref="O2:O13" si="4">N2/L2</f>
        <v>0.89130434782608692</v>
      </c>
    </row>
    <row r="3" spans="1:15" x14ac:dyDescent="0.2">
      <c r="A3" s="12">
        <v>2026</v>
      </c>
      <c r="B3" s="9" t="s">
        <v>15</v>
      </c>
      <c r="C3" s="4">
        <v>46081</v>
      </c>
      <c r="D3" s="5">
        <v>48065</v>
      </c>
      <c r="E3" s="5">
        <v>9666</v>
      </c>
      <c r="F3" s="14">
        <f t="shared" si="0"/>
        <v>0.20110267346301883</v>
      </c>
      <c r="G3" s="5">
        <v>1055</v>
      </c>
      <c r="H3" s="14">
        <f t="shared" si="1"/>
        <v>0.10914545830746948</v>
      </c>
      <c r="I3" s="5">
        <v>1002</v>
      </c>
      <c r="J3" s="5">
        <v>333</v>
      </c>
      <c r="K3" s="14">
        <f t="shared" si="2"/>
        <v>0.31563981042654027</v>
      </c>
      <c r="L3" s="5">
        <v>45</v>
      </c>
      <c r="M3" s="14">
        <f t="shared" si="3"/>
        <v>0.13513513513513514</v>
      </c>
      <c r="N3" s="5">
        <v>41</v>
      </c>
      <c r="O3" s="14">
        <f t="shared" si="4"/>
        <v>0.91111111111111109</v>
      </c>
    </row>
    <row r="4" spans="1:15" x14ac:dyDescent="0.2">
      <c r="A4" s="12">
        <v>2026</v>
      </c>
      <c r="B4" s="9" t="s">
        <v>15</v>
      </c>
      <c r="C4" s="4">
        <v>46053</v>
      </c>
      <c r="D4" s="5">
        <v>36834</v>
      </c>
      <c r="E4" s="5">
        <v>3416</v>
      </c>
      <c r="F4" s="14">
        <f t="shared" si="0"/>
        <v>9.2740402888635498E-2</v>
      </c>
      <c r="G4" s="5">
        <v>1080</v>
      </c>
      <c r="H4" s="14">
        <f t="shared" si="1"/>
        <v>0.31615925058548011</v>
      </c>
      <c r="I4" s="5">
        <v>1016</v>
      </c>
      <c r="J4" s="5">
        <v>288</v>
      </c>
      <c r="K4" s="14">
        <f t="shared" si="2"/>
        <v>0.26666666666666666</v>
      </c>
      <c r="L4" s="5">
        <v>63</v>
      </c>
      <c r="M4" s="14">
        <f t="shared" si="3"/>
        <v>0.21875</v>
      </c>
      <c r="N4" s="5">
        <v>54</v>
      </c>
      <c r="O4" s="14">
        <f t="shared" si="4"/>
        <v>0.8571428571428571</v>
      </c>
    </row>
    <row r="5" spans="1:15" x14ac:dyDescent="0.2">
      <c r="A5" s="12">
        <v>2026</v>
      </c>
      <c r="B5" s="9" t="s">
        <v>15</v>
      </c>
      <c r="C5" s="3" t="s">
        <v>16</v>
      </c>
      <c r="D5" s="7">
        <f>SUM(D2:D4)</f>
        <v>147683</v>
      </c>
      <c r="E5" s="7">
        <f>SUM(E2:E4)</f>
        <v>17914</v>
      </c>
      <c r="F5" s="8">
        <f t="shared" si="0"/>
        <v>0.12130035278264932</v>
      </c>
      <c r="G5" s="7">
        <f>SUM(G2:G4)</f>
        <v>3028</v>
      </c>
      <c r="H5" s="8">
        <f t="shared" si="1"/>
        <v>0.16902980908786425</v>
      </c>
      <c r="I5" s="7">
        <f>SUM(I2:I4)</f>
        <v>2857</v>
      </c>
      <c r="J5" s="7">
        <f>SUM(J2:J4)</f>
        <v>871</v>
      </c>
      <c r="K5" s="8">
        <f t="shared" si="2"/>
        <v>0.28764861294583882</v>
      </c>
      <c r="L5" s="7">
        <f>SUM(L2:L4)</f>
        <v>154</v>
      </c>
      <c r="M5" s="8">
        <f t="shared" si="3"/>
        <v>0.17680826636050517</v>
      </c>
      <c r="N5" s="7">
        <f>SUM(N2:N4)</f>
        <v>136</v>
      </c>
      <c r="O5" s="8">
        <f t="shared" si="4"/>
        <v>0.88311688311688308</v>
      </c>
    </row>
    <row r="6" spans="1:15" x14ac:dyDescent="0.2">
      <c r="A6" s="12">
        <v>2026</v>
      </c>
      <c r="B6" s="9" t="s">
        <v>17</v>
      </c>
      <c r="C6" s="4">
        <v>46142</v>
      </c>
      <c r="D6" s="5">
        <v>61684</v>
      </c>
      <c r="E6" s="5">
        <v>3345</v>
      </c>
      <c r="F6" s="14">
        <f t="shared" si="0"/>
        <v>5.4228000778159653E-2</v>
      </c>
      <c r="G6" s="5">
        <v>777</v>
      </c>
      <c r="H6" s="14">
        <f t="shared" si="1"/>
        <v>0.23228699551569507</v>
      </c>
      <c r="I6" s="5">
        <v>734</v>
      </c>
      <c r="J6" s="5">
        <v>208</v>
      </c>
      <c r="K6" s="14">
        <f t="shared" si="2"/>
        <v>0.2676962676962677</v>
      </c>
      <c r="L6" s="5">
        <v>29</v>
      </c>
      <c r="M6" s="14">
        <f t="shared" si="3"/>
        <v>0.13942307692307693</v>
      </c>
      <c r="N6" s="5">
        <v>28</v>
      </c>
      <c r="O6" s="14">
        <f t="shared" si="4"/>
        <v>0.96551724137931039</v>
      </c>
    </row>
    <row r="7" spans="1:15" x14ac:dyDescent="0.2">
      <c r="A7" s="12">
        <v>2026</v>
      </c>
      <c r="B7" s="9" t="s">
        <v>17</v>
      </c>
      <c r="C7" s="4">
        <v>46203</v>
      </c>
      <c r="D7" s="5">
        <v>43464</v>
      </c>
      <c r="E7" s="5">
        <v>4409</v>
      </c>
      <c r="F7" s="14">
        <f t="shared" si="0"/>
        <v>0.10144027240935026</v>
      </c>
      <c r="G7" s="5">
        <v>656</v>
      </c>
      <c r="H7" s="14">
        <f t="shared" si="1"/>
        <v>0.14878657291902925</v>
      </c>
      <c r="I7" s="5">
        <v>620</v>
      </c>
      <c r="J7" s="5">
        <v>195</v>
      </c>
      <c r="K7" s="14">
        <f t="shared" si="2"/>
        <v>0.2972560975609756</v>
      </c>
      <c r="L7" s="5">
        <v>26</v>
      </c>
      <c r="M7" s="14">
        <f t="shared" si="3"/>
        <v>0.13333333333333333</v>
      </c>
      <c r="N7" s="5">
        <v>23</v>
      </c>
      <c r="O7" s="14">
        <f t="shared" si="4"/>
        <v>0.88461538461538458</v>
      </c>
    </row>
    <row r="8" spans="1:15" x14ac:dyDescent="0.2">
      <c r="A8" s="12">
        <v>2026</v>
      </c>
      <c r="B8" s="9" t="s">
        <v>17</v>
      </c>
      <c r="C8" s="4">
        <v>46173</v>
      </c>
      <c r="D8" s="5">
        <v>43387</v>
      </c>
      <c r="E8" s="5">
        <v>3293</v>
      </c>
      <c r="F8" s="14">
        <f t="shared" si="0"/>
        <v>7.589831055385253E-2</v>
      </c>
      <c r="G8" s="5">
        <v>788</v>
      </c>
      <c r="H8" s="14">
        <f t="shared" si="1"/>
        <v>0.23929547525053144</v>
      </c>
      <c r="I8" s="5">
        <v>738</v>
      </c>
      <c r="J8" s="5">
        <v>193</v>
      </c>
      <c r="K8" s="14">
        <f t="shared" si="2"/>
        <v>0.24492385786802032</v>
      </c>
      <c r="L8" s="5">
        <v>28</v>
      </c>
      <c r="M8" s="14">
        <f t="shared" si="3"/>
        <v>0.14507772020725387</v>
      </c>
      <c r="N8" s="5">
        <v>26</v>
      </c>
      <c r="O8" s="14">
        <f t="shared" si="4"/>
        <v>0.9285714285714286</v>
      </c>
    </row>
    <row r="9" spans="1:15" x14ac:dyDescent="0.2">
      <c r="A9" s="12">
        <v>2026</v>
      </c>
      <c r="B9" s="9" t="s">
        <v>17</v>
      </c>
      <c r="C9" s="3" t="s">
        <v>16</v>
      </c>
      <c r="D9" s="7">
        <f>SUM(D6:D8)</f>
        <v>148535</v>
      </c>
      <c r="E9" s="7">
        <f>SUM(E6:E8)</f>
        <v>11047</v>
      </c>
      <c r="F9" s="8">
        <f t="shared" si="0"/>
        <v>7.4373043390446703E-2</v>
      </c>
      <c r="G9" s="7">
        <f>SUM(G6:G8)</f>
        <v>2221</v>
      </c>
      <c r="H9" s="8">
        <f t="shared" si="1"/>
        <v>0.20105005883950394</v>
      </c>
      <c r="I9" s="7">
        <f>SUM(I6:I8)</f>
        <v>2092</v>
      </c>
      <c r="J9" s="7">
        <f>SUM(J6:J8)</f>
        <v>596</v>
      </c>
      <c r="K9" s="8">
        <f t="shared" si="2"/>
        <v>0.26834759117514634</v>
      </c>
      <c r="L9" s="7">
        <f>SUM(L6:L8)</f>
        <v>83</v>
      </c>
      <c r="M9" s="8">
        <f t="shared" si="3"/>
        <v>0.13926174496644295</v>
      </c>
      <c r="N9" s="7">
        <f>SUM(N6:N8)</f>
        <v>77</v>
      </c>
      <c r="O9" s="8">
        <f t="shared" si="4"/>
        <v>0.92771084337349397</v>
      </c>
    </row>
    <row r="10" spans="1:15" x14ac:dyDescent="0.2">
      <c r="A10" s="12">
        <v>2026</v>
      </c>
      <c r="B10" s="9" t="s">
        <v>18</v>
      </c>
      <c r="C10" s="4">
        <v>46234</v>
      </c>
      <c r="D10" s="5">
        <v>32393</v>
      </c>
      <c r="E10" s="5">
        <v>2391</v>
      </c>
      <c r="F10" s="14">
        <f t="shared" si="0"/>
        <v>7.3812243385916715E-2</v>
      </c>
      <c r="G10" s="5">
        <v>653</v>
      </c>
      <c r="H10" s="14">
        <f t="shared" si="1"/>
        <v>0.27310748640736093</v>
      </c>
      <c r="I10" s="5">
        <v>619</v>
      </c>
      <c r="J10" s="5">
        <v>180</v>
      </c>
      <c r="K10" s="14">
        <f t="shared" si="2"/>
        <v>0.27565084226646247</v>
      </c>
      <c r="L10" s="5">
        <v>21</v>
      </c>
      <c r="M10" s="14">
        <f t="shared" si="3"/>
        <v>0.11666666666666667</v>
      </c>
      <c r="N10" s="5">
        <v>19</v>
      </c>
      <c r="O10" s="14">
        <f t="shared" si="4"/>
        <v>0.90476190476190477</v>
      </c>
    </row>
    <row r="11" spans="1:15" x14ac:dyDescent="0.2">
      <c r="A11" s="12">
        <v>2026</v>
      </c>
      <c r="B11" s="9" t="s">
        <v>18</v>
      </c>
      <c r="C11" s="3" t="s">
        <v>16</v>
      </c>
      <c r="D11" s="7">
        <v>32393</v>
      </c>
      <c r="E11" s="7">
        <v>2391</v>
      </c>
      <c r="F11" s="14">
        <f t="shared" si="0"/>
        <v>7.3812243385916715E-2</v>
      </c>
      <c r="G11" s="7">
        <v>653</v>
      </c>
      <c r="H11" s="14">
        <f t="shared" si="1"/>
        <v>0.27310748640736093</v>
      </c>
      <c r="I11" s="7">
        <v>619</v>
      </c>
      <c r="J11" s="7">
        <v>180</v>
      </c>
      <c r="K11" s="14">
        <f t="shared" si="2"/>
        <v>0.27565084226646247</v>
      </c>
      <c r="L11" s="7">
        <v>21</v>
      </c>
      <c r="M11" s="14">
        <f t="shared" si="3"/>
        <v>0.11666666666666667</v>
      </c>
      <c r="N11" s="7">
        <v>19</v>
      </c>
      <c r="O11" s="14">
        <f t="shared" si="4"/>
        <v>0.90476190476190477</v>
      </c>
    </row>
    <row r="12" spans="1:15" x14ac:dyDescent="0.2">
      <c r="A12" s="12">
        <v>2026</v>
      </c>
      <c r="B12" s="10" t="s">
        <v>16</v>
      </c>
      <c r="C12" s="11"/>
      <c r="D12" s="7">
        <v>328611</v>
      </c>
      <c r="E12" s="7">
        <v>31352</v>
      </c>
      <c r="F12" s="8">
        <f t="shared" si="0"/>
        <v>9.5407640036395611E-2</v>
      </c>
      <c r="G12" s="7">
        <v>5902</v>
      </c>
      <c r="H12" s="8">
        <f t="shared" si="1"/>
        <v>0.18824955345751468</v>
      </c>
      <c r="I12" s="7">
        <v>5568</v>
      </c>
      <c r="J12" s="7">
        <v>1647</v>
      </c>
      <c r="K12" s="8">
        <f t="shared" si="2"/>
        <v>0.27905794645882753</v>
      </c>
      <c r="L12" s="7">
        <v>258</v>
      </c>
      <c r="M12" s="8">
        <f t="shared" si="3"/>
        <v>0.15664845173041894</v>
      </c>
      <c r="N12" s="7">
        <v>232</v>
      </c>
      <c r="O12" s="8">
        <f t="shared" si="4"/>
        <v>0.89922480620155043</v>
      </c>
    </row>
    <row r="13" spans="1:15" x14ac:dyDescent="0.2">
      <c r="A13" s="10" t="s">
        <v>16</v>
      </c>
      <c r="B13" s="13"/>
      <c r="C13" s="11"/>
      <c r="D13" s="7">
        <v>328611</v>
      </c>
      <c r="E13" s="7">
        <v>31352</v>
      </c>
      <c r="F13" s="14">
        <f t="shared" si="0"/>
        <v>9.5407640036395611E-2</v>
      </c>
      <c r="G13" s="7">
        <v>5902</v>
      </c>
      <c r="H13" s="14">
        <f t="shared" si="1"/>
        <v>0.18824955345751468</v>
      </c>
      <c r="I13" s="7">
        <v>5568</v>
      </c>
      <c r="J13" s="7">
        <v>1647</v>
      </c>
      <c r="K13" s="14">
        <f t="shared" si="2"/>
        <v>0.27905794645882753</v>
      </c>
      <c r="L13" s="7">
        <v>258</v>
      </c>
      <c r="M13" s="14">
        <f t="shared" si="3"/>
        <v>0.15664845173041894</v>
      </c>
      <c r="N13" s="7">
        <v>232</v>
      </c>
      <c r="O13" s="14">
        <f t="shared" si="4"/>
        <v>0.89922480620155043</v>
      </c>
    </row>
  </sheetData>
  <mergeCells count="6">
    <mergeCell ref="A13:C13"/>
    <mergeCell ref="B2:B5"/>
    <mergeCell ref="B6:B9"/>
    <mergeCell ref="B10:B11"/>
    <mergeCell ref="B12:C12"/>
    <mergeCell ref="A2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80DA-25E1-D24A-B257-172DD3091940}">
  <dimension ref="A1:M50"/>
  <sheetViews>
    <sheetView zoomScale="150" zoomScaleNormal="150" workbookViewId="0">
      <selection activeCell="C6" sqref="C6"/>
    </sheetView>
  </sheetViews>
  <sheetFormatPr baseColWidth="10" defaultRowHeight="16" x14ac:dyDescent="0.2"/>
  <cols>
    <col min="1" max="1" width="28.33203125" bestFit="1" customWidth="1"/>
    <col min="2" max="2" width="14.1640625" bestFit="1" customWidth="1"/>
    <col min="4" max="4" width="13.5" bestFit="1" customWidth="1"/>
  </cols>
  <sheetData>
    <row r="1" spans="1:13" x14ac:dyDescent="0.2">
      <c r="A1" s="1" t="s">
        <v>19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2">
      <c r="A2" s="2" t="s">
        <v>20</v>
      </c>
      <c r="B2" s="5">
        <v>1</v>
      </c>
      <c r="C2" s="5">
        <v>1</v>
      </c>
      <c r="D2" s="6">
        <v>1</v>
      </c>
      <c r="E2" s="5">
        <v>1</v>
      </c>
      <c r="F2" s="6">
        <v>1</v>
      </c>
      <c r="G2" s="5">
        <v>1</v>
      </c>
      <c r="H2" s="5">
        <v>0</v>
      </c>
      <c r="I2" s="6">
        <v>0</v>
      </c>
      <c r="J2" s="5">
        <v>0</v>
      </c>
      <c r="K2" s="6">
        <v>0</v>
      </c>
      <c r="L2" s="5">
        <v>0</v>
      </c>
      <c r="M2" s="6">
        <v>0</v>
      </c>
    </row>
    <row r="3" spans="1:13" x14ac:dyDescent="0.2">
      <c r="A3" s="2" t="s">
        <v>21</v>
      </c>
      <c r="B3" s="5">
        <v>1</v>
      </c>
      <c r="C3" s="5">
        <v>1</v>
      </c>
      <c r="D3" s="6">
        <v>1</v>
      </c>
      <c r="E3" s="5">
        <v>1</v>
      </c>
      <c r="F3" s="6">
        <v>1</v>
      </c>
      <c r="G3" s="5">
        <v>1</v>
      </c>
      <c r="H3" s="5">
        <v>0</v>
      </c>
      <c r="I3" s="6">
        <v>0</v>
      </c>
      <c r="J3" s="5">
        <v>0</v>
      </c>
      <c r="K3" s="6">
        <v>0</v>
      </c>
      <c r="L3" s="5">
        <v>0</v>
      </c>
      <c r="M3" s="6">
        <v>0</v>
      </c>
    </row>
    <row r="4" spans="1:13" x14ac:dyDescent="0.2">
      <c r="A4" s="2" t="s">
        <v>22</v>
      </c>
      <c r="B4" s="5">
        <v>1</v>
      </c>
      <c r="C4" s="5">
        <v>1</v>
      </c>
      <c r="D4" s="6">
        <v>1</v>
      </c>
      <c r="E4" s="5">
        <v>1</v>
      </c>
      <c r="F4" s="6">
        <v>1</v>
      </c>
      <c r="G4" s="5">
        <v>1</v>
      </c>
      <c r="H4" s="5">
        <v>1</v>
      </c>
      <c r="I4" s="6">
        <v>1</v>
      </c>
      <c r="J4" s="5">
        <v>0</v>
      </c>
      <c r="K4" s="6">
        <v>0</v>
      </c>
      <c r="L4" s="5">
        <v>0</v>
      </c>
      <c r="M4" s="6">
        <v>0</v>
      </c>
    </row>
    <row r="5" spans="1:13" x14ac:dyDescent="0.2">
      <c r="A5" s="2" t="s">
        <v>23</v>
      </c>
      <c r="B5" s="5">
        <v>11</v>
      </c>
      <c r="C5" s="5">
        <v>11</v>
      </c>
      <c r="D5" s="6">
        <v>1</v>
      </c>
      <c r="E5" s="5">
        <v>12</v>
      </c>
      <c r="F5" s="6">
        <v>1.0900000000000001</v>
      </c>
      <c r="G5" s="5">
        <v>11</v>
      </c>
      <c r="H5" s="5">
        <v>0</v>
      </c>
      <c r="I5" s="6">
        <v>0</v>
      </c>
      <c r="J5" s="5">
        <v>0</v>
      </c>
      <c r="K5" s="6">
        <v>0</v>
      </c>
      <c r="L5" s="5">
        <v>0</v>
      </c>
      <c r="M5" s="6">
        <v>0</v>
      </c>
    </row>
    <row r="6" spans="1:13" x14ac:dyDescent="0.2">
      <c r="A6" s="2" t="s">
        <v>24</v>
      </c>
      <c r="B6" s="5">
        <v>4</v>
      </c>
      <c r="C6" s="5">
        <v>4</v>
      </c>
      <c r="D6" s="6">
        <v>1</v>
      </c>
      <c r="E6" s="5">
        <v>4</v>
      </c>
      <c r="F6" s="6">
        <v>1</v>
      </c>
      <c r="G6" s="5">
        <v>4</v>
      </c>
      <c r="H6" s="5">
        <v>0</v>
      </c>
      <c r="I6" s="6">
        <v>0</v>
      </c>
      <c r="J6" s="5">
        <v>0</v>
      </c>
      <c r="K6" s="6">
        <v>0</v>
      </c>
      <c r="L6" s="5">
        <v>0</v>
      </c>
      <c r="M6" s="6">
        <v>0</v>
      </c>
    </row>
    <row r="7" spans="1:13" x14ac:dyDescent="0.2">
      <c r="A7" s="2" t="s">
        <v>25</v>
      </c>
      <c r="B7" s="5">
        <v>30</v>
      </c>
      <c r="C7" s="5">
        <v>36</v>
      </c>
      <c r="D7" s="6">
        <v>1.2</v>
      </c>
      <c r="E7" s="5">
        <v>35</v>
      </c>
      <c r="F7" s="6">
        <v>0.97</v>
      </c>
      <c r="G7" s="5">
        <v>35</v>
      </c>
      <c r="H7" s="5">
        <v>11</v>
      </c>
      <c r="I7" s="6">
        <v>0.31</v>
      </c>
      <c r="J7" s="5">
        <v>9</v>
      </c>
      <c r="K7" s="6">
        <v>0.82</v>
      </c>
      <c r="L7" s="5">
        <v>9</v>
      </c>
      <c r="M7" s="6">
        <v>1</v>
      </c>
    </row>
    <row r="8" spans="1:13" x14ac:dyDescent="0.2">
      <c r="A8" s="2" t="s">
        <v>26</v>
      </c>
      <c r="B8" s="5">
        <v>376</v>
      </c>
      <c r="C8" s="5">
        <v>414</v>
      </c>
      <c r="D8" s="6">
        <v>1.1000000000000001</v>
      </c>
      <c r="E8" s="5">
        <v>466</v>
      </c>
      <c r="F8" s="6">
        <v>1.1299999999999999</v>
      </c>
      <c r="G8" s="5">
        <v>441</v>
      </c>
      <c r="H8" s="5">
        <v>184</v>
      </c>
      <c r="I8" s="6">
        <v>0.39</v>
      </c>
      <c r="J8" s="5">
        <v>7</v>
      </c>
      <c r="K8" s="6">
        <v>0.04</v>
      </c>
      <c r="L8" s="5">
        <v>6</v>
      </c>
      <c r="M8" s="6">
        <v>0.86</v>
      </c>
    </row>
    <row r="9" spans="1:13" x14ac:dyDescent="0.2">
      <c r="A9" s="2" t="s">
        <v>27</v>
      </c>
      <c r="B9" s="5">
        <v>24</v>
      </c>
      <c r="C9" s="5">
        <v>30</v>
      </c>
      <c r="D9" s="6">
        <v>1.25</v>
      </c>
      <c r="E9" s="5">
        <v>27</v>
      </c>
      <c r="F9" s="6">
        <v>0.9</v>
      </c>
      <c r="G9" s="5">
        <v>27</v>
      </c>
      <c r="H9" s="5">
        <v>2</v>
      </c>
      <c r="I9" s="6">
        <v>7.0000000000000007E-2</v>
      </c>
      <c r="J9" s="5">
        <v>0</v>
      </c>
      <c r="K9" s="6">
        <v>0</v>
      </c>
      <c r="L9" s="5">
        <v>0</v>
      </c>
      <c r="M9" s="6">
        <v>0</v>
      </c>
    </row>
    <row r="10" spans="1:13" x14ac:dyDescent="0.2">
      <c r="A10" s="2" t="s">
        <v>28</v>
      </c>
      <c r="B10" s="5">
        <v>112</v>
      </c>
      <c r="C10" s="5">
        <v>139</v>
      </c>
      <c r="D10" s="6">
        <v>1.24</v>
      </c>
      <c r="E10" s="5">
        <v>120</v>
      </c>
      <c r="F10" s="6">
        <v>0.86</v>
      </c>
      <c r="G10" s="5">
        <v>110</v>
      </c>
      <c r="H10" s="5">
        <v>32</v>
      </c>
      <c r="I10" s="6">
        <v>0.27</v>
      </c>
      <c r="J10" s="5">
        <v>11</v>
      </c>
      <c r="K10" s="6">
        <v>0.34</v>
      </c>
      <c r="L10" s="5">
        <v>9</v>
      </c>
      <c r="M10" s="6">
        <v>0.82</v>
      </c>
    </row>
    <row r="11" spans="1:13" x14ac:dyDescent="0.2">
      <c r="A11" s="2" t="s">
        <v>29</v>
      </c>
      <c r="B11" s="5">
        <v>33</v>
      </c>
      <c r="C11" s="5">
        <v>40</v>
      </c>
      <c r="D11" s="6">
        <v>1.21</v>
      </c>
      <c r="E11" s="5">
        <v>38</v>
      </c>
      <c r="F11" s="6">
        <v>0.95</v>
      </c>
      <c r="G11" s="5">
        <v>36</v>
      </c>
      <c r="H11" s="5">
        <v>5</v>
      </c>
      <c r="I11" s="6">
        <v>0.13</v>
      </c>
      <c r="J11" s="5">
        <v>1</v>
      </c>
      <c r="K11" s="6">
        <v>0.2</v>
      </c>
      <c r="L11" s="5">
        <v>0</v>
      </c>
      <c r="M11" s="6">
        <v>0</v>
      </c>
    </row>
    <row r="12" spans="1:13" x14ac:dyDescent="0.2">
      <c r="A12" s="2" t="s">
        <v>30</v>
      </c>
      <c r="B12" s="5">
        <v>14</v>
      </c>
      <c r="C12" s="5">
        <v>17</v>
      </c>
      <c r="D12" s="6">
        <v>1.21</v>
      </c>
      <c r="E12" s="5">
        <v>15</v>
      </c>
      <c r="F12" s="6">
        <v>0.88</v>
      </c>
      <c r="G12" s="5">
        <v>14</v>
      </c>
      <c r="H12" s="5">
        <v>2</v>
      </c>
      <c r="I12" s="6">
        <v>0.13</v>
      </c>
      <c r="J12" s="5">
        <v>1</v>
      </c>
      <c r="K12" s="6">
        <v>0.5</v>
      </c>
      <c r="L12" s="5">
        <v>1</v>
      </c>
      <c r="M12" s="6">
        <v>1</v>
      </c>
    </row>
    <row r="13" spans="1:13" x14ac:dyDescent="0.2">
      <c r="A13" s="2" t="s">
        <v>31</v>
      </c>
      <c r="B13" s="5">
        <v>121</v>
      </c>
      <c r="C13" s="5">
        <v>133</v>
      </c>
      <c r="D13" s="6">
        <v>1.1000000000000001</v>
      </c>
      <c r="E13" s="5">
        <v>133</v>
      </c>
      <c r="F13" s="6">
        <v>1</v>
      </c>
      <c r="G13" s="5">
        <v>119</v>
      </c>
      <c r="H13" s="5">
        <v>13</v>
      </c>
      <c r="I13" s="6">
        <v>0.1</v>
      </c>
      <c r="J13" s="5">
        <v>1</v>
      </c>
      <c r="K13" s="6">
        <v>0.08</v>
      </c>
      <c r="L13" s="5">
        <v>1</v>
      </c>
      <c r="M13" s="6">
        <v>1</v>
      </c>
    </row>
    <row r="14" spans="1:13" x14ac:dyDescent="0.2">
      <c r="A14" s="2" t="s">
        <v>32</v>
      </c>
      <c r="B14" s="5">
        <v>670</v>
      </c>
      <c r="C14" s="5">
        <v>703</v>
      </c>
      <c r="D14" s="6">
        <v>1.05</v>
      </c>
      <c r="E14" s="5">
        <v>784</v>
      </c>
      <c r="F14" s="6">
        <v>1.1200000000000001</v>
      </c>
      <c r="G14" s="5">
        <v>758</v>
      </c>
      <c r="H14" s="5">
        <v>455</v>
      </c>
      <c r="I14" s="6">
        <v>0.57999999999999996</v>
      </c>
      <c r="J14" s="5">
        <v>38</v>
      </c>
      <c r="K14" s="6">
        <v>0.08</v>
      </c>
      <c r="L14" s="5">
        <v>33</v>
      </c>
      <c r="M14" s="6">
        <v>0.87</v>
      </c>
    </row>
    <row r="15" spans="1:13" x14ac:dyDescent="0.2">
      <c r="A15" s="2" t="s">
        <v>33</v>
      </c>
      <c r="B15" s="5">
        <v>1</v>
      </c>
      <c r="C15" s="5">
        <v>1</v>
      </c>
      <c r="D15" s="6">
        <v>1</v>
      </c>
      <c r="E15" s="5">
        <v>1</v>
      </c>
      <c r="F15" s="6">
        <v>1</v>
      </c>
      <c r="G15" s="5">
        <v>1</v>
      </c>
      <c r="H15" s="5">
        <v>0</v>
      </c>
      <c r="I15" s="6">
        <v>0</v>
      </c>
      <c r="J15" s="5">
        <v>0</v>
      </c>
      <c r="K15" s="6">
        <v>0</v>
      </c>
      <c r="L15" s="5">
        <v>0</v>
      </c>
      <c r="M15" s="6">
        <v>0</v>
      </c>
    </row>
    <row r="16" spans="1:13" x14ac:dyDescent="0.2">
      <c r="A16" s="2" t="s">
        <v>34</v>
      </c>
      <c r="B16" s="5">
        <v>218</v>
      </c>
      <c r="C16" s="5">
        <v>230</v>
      </c>
      <c r="D16" s="6">
        <v>1.06</v>
      </c>
      <c r="E16" s="5">
        <v>242</v>
      </c>
      <c r="F16" s="6">
        <v>1.05</v>
      </c>
      <c r="G16" s="5">
        <v>231</v>
      </c>
      <c r="H16" s="5">
        <v>37</v>
      </c>
      <c r="I16" s="6">
        <v>0.15</v>
      </c>
      <c r="J16" s="5">
        <v>5</v>
      </c>
      <c r="K16" s="6">
        <v>0.14000000000000001</v>
      </c>
      <c r="L16" s="5">
        <v>5</v>
      </c>
      <c r="M16" s="6">
        <v>1</v>
      </c>
    </row>
    <row r="17" spans="1:13" x14ac:dyDescent="0.2">
      <c r="A17" s="2" t="s">
        <v>35</v>
      </c>
      <c r="B17" s="5">
        <v>339</v>
      </c>
      <c r="C17" s="5">
        <v>366</v>
      </c>
      <c r="D17" s="6">
        <v>1.08</v>
      </c>
      <c r="E17" s="5">
        <v>411</v>
      </c>
      <c r="F17" s="6">
        <v>1.1200000000000001</v>
      </c>
      <c r="G17" s="5">
        <v>385</v>
      </c>
      <c r="H17" s="5">
        <v>96</v>
      </c>
      <c r="I17" s="6">
        <v>0.23</v>
      </c>
      <c r="J17" s="5">
        <v>24</v>
      </c>
      <c r="K17" s="6">
        <v>0.25</v>
      </c>
      <c r="L17" s="5">
        <v>21</v>
      </c>
      <c r="M17" s="6">
        <v>0.88</v>
      </c>
    </row>
    <row r="18" spans="1:13" x14ac:dyDescent="0.2">
      <c r="A18" s="2" t="s">
        <v>36</v>
      </c>
      <c r="B18" s="5">
        <v>127</v>
      </c>
      <c r="C18" s="5">
        <v>135</v>
      </c>
      <c r="D18" s="6">
        <v>1.06</v>
      </c>
      <c r="E18" s="5">
        <v>137</v>
      </c>
      <c r="F18" s="6">
        <v>1.01</v>
      </c>
      <c r="G18" s="5">
        <v>131</v>
      </c>
      <c r="H18" s="5">
        <v>36</v>
      </c>
      <c r="I18" s="6">
        <v>0.26</v>
      </c>
      <c r="J18" s="5">
        <v>10</v>
      </c>
      <c r="K18" s="6">
        <v>0.28000000000000003</v>
      </c>
      <c r="L18" s="5">
        <v>8</v>
      </c>
      <c r="M18" s="6">
        <v>0.8</v>
      </c>
    </row>
    <row r="19" spans="1:13" x14ac:dyDescent="0.2">
      <c r="A19" s="2" t="s">
        <v>37</v>
      </c>
      <c r="B19" s="5">
        <v>15</v>
      </c>
      <c r="C19" s="5">
        <v>22</v>
      </c>
      <c r="D19" s="6">
        <v>1.47</v>
      </c>
      <c r="E19" s="5">
        <v>19</v>
      </c>
      <c r="F19" s="6">
        <v>0.86</v>
      </c>
      <c r="G19" s="5">
        <v>18</v>
      </c>
      <c r="H19" s="5">
        <v>3</v>
      </c>
      <c r="I19" s="6">
        <v>0.16</v>
      </c>
      <c r="J19" s="5">
        <v>2</v>
      </c>
      <c r="K19" s="6">
        <v>0.67</v>
      </c>
      <c r="L19" s="5">
        <v>2</v>
      </c>
      <c r="M19" s="6">
        <v>1</v>
      </c>
    </row>
    <row r="20" spans="1:13" x14ac:dyDescent="0.2">
      <c r="A20" s="2" t="s">
        <v>38</v>
      </c>
      <c r="B20" s="5">
        <v>1</v>
      </c>
      <c r="C20" s="5">
        <v>1</v>
      </c>
      <c r="D20" s="6">
        <v>1</v>
      </c>
      <c r="E20" s="5">
        <v>1</v>
      </c>
      <c r="F20" s="6">
        <v>1</v>
      </c>
      <c r="G20" s="5">
        <v>1</v>
      </c>
      <c r="H20" s="5">
        <v>0</v>
      </c>
      <c r="I20" s="6">
        <v>0</v>
      </c>
      <c r="J20" s="5">
        <v>0</v>
      </c>
      <c r="K20" s="6">
        <v>0</v>
      </c>
      <c r="L20" s="5">
        <v>0</v>
      </c>
      <c r="M20" s="6">
        <v>0</v>
      </c>
    </row>
    <row r="21" spans="1:13" x14ac:dyDescent="0.2">
      <c r="A21" s="2" t="s">
        <v>39</v>
      </c>
      <c r="B21" s="5">
        <v>3</v>
      </c>
      <c r="C21" s="5">
        <v>4</v>
      </c>
      <c r="D21" s="6">
        <v>1.33</v>
      </c>
      <c r="E21" s="5">
        <v>4</v>
      </c>
      <c r="F21" s="6">
        <v>1</v>
      </c>
      <c r="G21" s="5">
        <v>4</v>
      </c>
      <c r="H21" s="5">
        <v>1</v>
      </c>
      <c r="I21" s="6">
        <v>0.25</v>
      </c>
      <c r="J21" s="5">
        <v>1</v>
      </c>
      <c r="K21" s="6">
        <v>1</v>
      </c>
      <c r="L21" s="5">
        <v>1</v>
      </c>
      <c r="M21" s="6">
        <v>1</v>
      </c>
    </row>
    <row r="22" spans="1:13" x14ac:dyDescent="0.2">
      <c r="A22" s="2" t="s">
        <v>40</v>
      </c>
      <c r="B22" s="5">
        <v>356</v>
      </c>
      <c r="C22" s="5">
        <v>393</v>
      </c>
      <c r="D22" s="6">
        <v>1.1000000000000001</v>
      </c>
      <c r="E22" s="5">
        <v>398</v>
      </c>
      <c r="F22" s="6">
        <v>1.01</v>
      </c>
      <c r="G22" s="5">
        <v>380</v>
      </c>
      <c r="H22" s="5">
        <v>89</v>
      </c>
      <c r="I22" s="6">
        <v>0.22</v>
      </c>
      <c r="J22" s="5">
        <v>20</v>
      </c>
      <c r="K22" s="6">
        <v>0.22</v>
      </c>
      <c r="L22" s="5">
        <v>18</v>
      </c>
      <c r="M22" s="6">
        <v>0.9</v>
      </c>
    </row>
    <row r="23" spans="1:13" x14ac:dyDescent="0.2">
      <c r="A23" s="2" t="s">
        <v>41</v>
      </c>
      <c r="B23" s="5">
        <v>180</v>
      </c>
      <c r="C23" s="5">
        <v>199</v>
      </c>
      <c r="D23" s="6">
        <v>1.1100000000000001</v>
      </c>
      <c r="E23" s="5">
        <v>202</v>
      </c>
      <c r="F23" s="6">
        <v>1.02</v>
      </c>
      <c r="G23" s="5">
        <v>187</v>
      </c>
      <c r="H23" s="5">
        <v>28</v>
      </c>
      <c r="I23" s="6">
        <v>0.14000000000000001</v>
      </c>
      <c r="J23" s="5">
        <v>5</v>
      </c>
      <c r="K23" s="6">
        <v>0.18</v>
      </c>
      <c r="L23" s="5">
        <v>5</v>
      </c>
      <c r="M23" s="6">
        <v>1</v>
      </c>
    </row>
    <row r="24" spans="1:13" x14ac:dyDescent="0.2">
      <c r="A24" s="2" t="s">
        <v>42</v>
      </c>
      <c r="B24" s="5">
        <v>52</v>
      </c>
      <c r="C24" s="5">
        <v>61</v>
      </c>
      <c r="D24" s="6">
        <v>1.17</v>
      </c>
      <c r="E24" s="5">
        <v>60</v>
      </c>
      <c r="F24" s="6">
        <v>0.98</v>
      </c>
      <c r="G24" s="5">
        <v>58</v>
      </c>
      <c r="H24" s="5">
        <v>14</v>
      </c>
      <c r="I24" s="6">
        <v>0.23</v>
      </c>
      <c r="J24" s="5">
        <v>6</v>
      </c>
      <c r="K24" s="6">
        <v>0.43</v>
      </c>
      <c r="L24" s="5">
        <v>5</v>
      </c>
      <c r="M24" s="6">
        <v>0.83</v>
      </c>
    </row>
    <row r="25" spans="1:13" x14ac:dyDescent="0.2">
      <c r="A25" s="2" t="s">
        <v>43</v>
      </c>
      <c r="B25" s="5">
        <v>2</v>
      </c>
      <c r="C25" s="5">
        <v>2</v>
      </c>
      <c r="D25" s="6">
        <v>1</v>
      </c>
      <c r="E25" s="5">
        <v>2</v>
      </c>
      <c r="F25" s="6">
        <v>1</v>
      </c>
      <c r="G25" s="5">
        <v>2</v>
      </c>
      <c r="H25" s="5">
        <v>1</v>
      </c>
      <c r="I25" s="6">
        <v>0.5</v>
      </c>
      <c r="J25" s="5">
        <v>0</v>
      </c>
      <c r="K25" s="6">
        <v>0</v>
      </c>
      <c r="L25" s="5">
        <v>0</v>
      </c>
      <c r="M25" s="6">
        <v>0</v>
      </c>
    </row>
    <row r="26" spans="1:13" x14ac:dyDescent="0.2">
      <c r="A26" s="2" t="s">
        <v>44</v>
      </c>
      <c r="B26" s="5">
        <v>9</v>
      </c>
      <c r="C26" s="5">
        <v>11</v>
      </c>
      <c r="D26" s="6">
        <v>1.22</v>
      </c>
      <c r="E26" s="5">
        <v>9</v>
      </c>
      <c r="F26" s="6">
        <v>0.82</v>
      </c>
      <c r="G26" s="5">
        <v>8</v>
      </c>
      <c r="H26" s="5">
        <v>0</v>
      </c>
      <c r="I26" s="6">
        <v>0</v>
      </c>
      <c r="J26" s="5">
        <v>0</v>
      </c>
      <c r="K26" s="6">
        <v>0</v>
      </c>
      <c r="L26" s="5">
        <v>0</v>
      </c>
      <c r="M26" s="6">
        <v>0</v>
      </c>
    </row>
    <row r="27" spans="1:13" x14ac:dyDescent="0.2">
      <c r="A27" s="2" t="s">
        <v>45</v>
      </c>
      <c r="B27" s="5">
        <v>14</v>
      </c>
      <c r="C27" s="5">
        <v>19</v>
      </c>
      <c r="D27" s="6">
        <v>1.36</v>
      </c>
      <c r="E27" s="5">
        <v>16</v>
      </c>
      <c r="F27" s="6">
        <v>0.84</v>
      </c>
      <c r="G27" s="5">
        <v>14</v>
      </c>
      <c r="H27" s="5">
        <v>1</v>
      </c>
      <c r="I27" s="6">
        <v>0.06</v>
      </c>
      <c r="J27" s="5">
        <v>1</v>
      </c>
      <c r="K27" s="6">
        <v>1</v>
      </c>
      <c r="L27" s="5">
        <v>1</v>
      </c>
      <c r="M27" s="6">
        <v>1</v>
      </c>
    </row>
    <row r="28" spans="1:13" x14ac:dyDescent="0.2">
      <c r="A28" s="2" t="s">
        <v>46</v>
      </c>
      <c r="B28" s="5">
        <v>8</v>
      </c>
      <c r="C28" s="5">
        <v>10</v>
      </c>
      <c r="D28" s="6">
        <v>1.25</v>
      </c>
      <c r="E28" s="5">
        <v>8</v>
      </c>
      <c r="F28" s="6">
        <v>0.8</v>
      </c>
      <c r="G28" s="5">
        <v>8</v>
      </c>
      <c r="H28" s="5">
        <v>2</v>
      </c>
      <c r="I28" s="6">
        <v>0.25</v>
      </c>
      <c r="J28" s="5">
        <v>0</v>
      </c>
      <c r="K28" s="6">
        <v>0</v>
      </c>
      <c r="L28" s="5">
        <v>0</v>
      </c>
      <c r="M28" s="6">
        <v>0</v>
      </c>
    </row>
    <row r="29" spans="1:13" x14ac:dyDescent="0.2">
      <c r="A29" s="2" t="s">
        <v>47</v>
      </c>
      <c r="B29" s="5">
        <v>74</v>
      </c>
      <c r="C29" s="5">
        <v>80</v>
      </c>
      <c r="D29" s="6">
        <v>1.08</v>
      </c>
      <c r="E29" s="5">
        <v>78</v>
      </c>
      <c r="F29" s="6">
        <v>0.98</v>
      </c>
      <c r="G29" s="5">
        <v>76</v>
      </c>
      <c r="H29" s="5">
        <v>7</v>
      </c>
      <c r="I29" s="6">
        <v>0.09</v>
      </c>
      <c r="J29" s="5">
        <v>1</v>
      </c>
      <c r="K29" s="6">
        <v>0.14000000000000001</v>
      </c>
      <c r="L29" s="5">
        <v>1</v>
      </c>
      <c r="M29" s="6">
        <v>1</v>
      </c>
    </row>
    <row r="30" spans="1:13" x14ac:dyDescent="0.2">
      <c r="A30" s="2" t="s">
        <v>48</v>
      </c>
      <c r="B30" s="5">
        <v>62</v>
      </c>
      <c r="C30" s="5">
        <v>70</v>
      </c>
      <c r="D30" s="6">
        <v>1.1299999999999999</v>
      </c>
      <c r="E30" s="5">
        <v>76</v>
      </c>
      <c r="F30" s="6">
        <v>1.0900000000000001</v>
      </c>
      <c r="G30" s="5">
        <v>74</v>
      </c>
      <c r="H30" s="5">
        <v>18</v>
      </c>
      <c r="I30" s="6">
        <v>0.24</v>
      </c>
      <c r="J30" s="5">
        <v>6</v>
      </c>
      <c r="K30" s="6">
        <v>0.33</v>
      </c>
      <c r="L30" s="5">
        <v>6</v>
      </c>
      <c r="M30" s="6">
        <v>1</v>
      </c>
    </row>
    <row r="31" spans="1:13" x14ac:dyDescent="0.2">
      <c r="A31" s="2" t="s">
        <v>49</v>
      </c>
      <c r="B31" s="5">
        <v>157</v>
      </c>
      <c r="C31" s="5">
        <v>172</v>
      </c>
      <c r="D31" s="6">
        <v>1.1000000000000001</v>
      </c>
      <c r="E31" s="5">
        <v>166</v>
      </c>
      <c r="F31" s="6">
        <v>0.97</v>
      </c>
      <c r="G31" s="5">
        <v>159</v>
      </c>
      <c r="H31" s="5">
        <v>9</v>
      </c>
      <c r="I31" s="6">
        <v>0.05</v>
      </c>
      <c r="J31" s="5">
        <v>0</v>
      </c>
      <c r="K31" s="6">
        <v>0</v>
      </c>
      <c r="L31" s="5">
        <v>0</v>
      </c>
      <c r="M31" s="6">
        <v>0</v>
      </c>
    </row>
    <row r="32" spans="1:13" x14ac:dyDescent="0.2">
      <c r="A32" s="2" t="s">
        <v>50</v>
      </c>
      <c r="B32" s="5">
        <v>74</v>
      </c>
      <c r="C32" s="5">
        <v>89</v>
      </c>
      <c r="D32" s="6">
        <v>1.2</v>
      </c>
      <c r="E32" s="5">
        <v>90</v>
      </c>
      <c r="F32" s="6">
        <v>1.01</v>
      </c>
      <c r="G32" s="5">
        <v>84</v>
      </c>
      <c r="H32" s="5">
        <v>17</v>
      </c>
      <c r="I32" s="6">
        <v>0.19</v>
      </c>
      <c r="J32" s="5">
        <v>5</v>
      </c>
      <c r="K32" s="6">
        <v>0.28999999999999998</v>
      </c>
      <c r="L32" s="5">
        <v>5</v>
      </c>
      <c r="M32" s="6">
        <v>1</v>
      </c>
    </row>
    <row r="33" spans="1:13" x14ac:dyDescent="0.2">
      <c r="A33" s="2" t="s">
        <v>51</v>
      </c>
      <c r="B33" s="5">
        <v>477</v>
      </c>
      <c r="C33" s="5">
        <v>624</v>
      </c>
      <c r="D33" s="6">
        <v>1.31</v>
      </c>
      <c r="E33" s="5">
        <v>510</v>
      </c>
      <c r="F33" s="6">
        <v>0.82</v>
      </c>
      <c r="G33" s="5">
        <v>464</v>
      </c>
      <c r="H33" s="5">
        <v>99</v>
      </c>
      <c r="I33" s="6">
        <v>0.19</v>
      </c>
      <c r="J33" s="5">
        <v>19</v>
      </c>
      <c r="K33" s="6">
        <v>0.19</v>
      </c>
      <c r="L33" s="5">
        <v>18</v>
      </c>
      <c r="M33" s="6">
        <v>0.95</v>
      </c>
    </row>
    <row r="34" spans="1:13" x14ac:dyDescent="0.2">
      <c r="A34" s="2" t="s">
        <v>52</v>
      </c>
      <c r="B34" s="5">
        <v>6</v>
      </c>
      <c r="C34" s="5">
        <v>7</v>
      </c>
      <c r="D34" s="6">
        <v>1.17</v>
      </c>
      <c r="E34" s="5">
        <v>7</v>
      </c>
      <c r="F34" s="6">
        <v>1</v>
      </c>
      <c r="G34" s="5">
        <v>6</v>
      </c>
      <c r="H34" s="5">
        <v>0</v>
      </c>
      <c r="I34" s="6">
        <v>0</v>
      </c>
      <c r="J34" s="5">
        <v>0</v>
      </c>
      <c r="K34" s="6">
        <v>0</v>
      </c>
      <c r="L34" s="5">
        <v>0</v>
      </c>
      <c r="M34" s="6">
        <v>0</v>
      </c>
    </row>
    <row r="35" spans="1:13" x14ac:dyDescent="0.2">
      <c r="A35" s="2" t="s">
        <v>53</v>
      </c>
      <c r="B35" s="5">
        <v>4</v>
      </c>
      <c r="C35" s="5">
        <v>4</v>
      </c>
      <c r="D35" s="6">
        <v>1</v>
      </c>
      <c r="E35" s="5">
        <v>4</v>
      </c>
      <c r="F35" s="6">
        <v>1</v>
      </c>
      <c r="G35" s="5">
        <v>4</v>
      </c>
      <c r="H35" s="5">
        <v>1</v>
      </c>
      <c r="I35" s="6">
        <v>0.25</v>
      </c>
      <c r="J35" s="5">
        <v>0</v>
      </c>
      <c r="K35" s="6">
        <v>0</v>
      </c>
      <c r="L35" s="5">
        <v>0</v>
      </c>
      <c r="M35" s="6">
        <v>0</v>
      </c>
    </row>
    <row r="36" spans="1:13" x14ac:dyDescent="0.2">
      <c r="A36" s="2" t="s">
        <v>54</v>
      </c>
      <c r="B36" s="5">
        <v>721</v>
      </c>
      <c r="C36" s="5">
        <v>784</v>
      </c>
      <c r="D36" s="6">
        <v>1.0900000000000001</v>
      </c>
      <c r="E36" s="5">
        <v>867</v>
      </c>
      <c r="F36" s="6">
        <v>1.1100000000000001</v>
      </c>
      <c r="G36" s="5">
        <v>839</v>
      </c>
      <c r="H36" s="5">
        <v>344</v>
      </c>
      <c r="I36" s="6">
        <v>0.4</v>
      </c>
      <c r="J36" s="5">
        <v>62</v>
      </c>
      <c r="K36" s="6">
        <v>0.18</v>
      </c>
      <c r="L36" s="5">
        <v>57</v>
      </c>
      <c r="M36" s="6">
        <v>0.92</v>
      </c>
    </row>
    <row r="37" spans="1:13" x14ac:dyDescent="0.2">
      <c r="A37" s="2" t="s">
        <v>55</v>
      </c>
      <c r="B37" s="5">
        <v>1</v>
      </c>
      <c r="C37" s="5">
        <v>1</v>
      </c>
      <c r="D37" s="6">
        <v>1</v>
      </c>
      <c r="E37" s="5">
        <v>1</v>
      </c>
      <c r="F37" s="6">
        <v>1</v>
      </c>
      <c r="G37" s="5">
        <v>1</v>
      </c>
      <c r="H37" s="5">
        <v>0</v>
      </c>
      <c r="I37" s="6">
        <v>0</v>
      </c>
      <c r="J37" s="5">
        <v>0</v>
      </c>
      <c r="K37" s="6">
        <v>0</v>
      </c>
      <c r="L37" s="5">
        <v>0</v>
      </c>
      <c r="M37" s="6">
        <v>0</v>
      </c>
    </row>
    <row r="38" spans="1:13" x14ac:dyDescent="0.2">
      <c r="A38" s="2" t="s">
        <v>56</v>
      </c>
      <c r="B38" s="5">
        <v>3</v>
      </c>
      <c r="C38" s="5">
        <v>3</v>
      </c>
      <c r="D38" s="6">
        <v>1</v>
      </c>
      <c r="E38" s="5">
        <v>4</v>
      </c>
      <c r="F38" s="6">
        <v>1.33</v>
      </c>
      <c r="G38" s="5">
        <v>4</v>
      </c>
      <c r="H38" s="5">
        <v>0</v>
      </c>
      <c r="I38" s="6">
        <v>0</v>
      </c>
      <c r="J38" s="5">
        <v>0</v>
      </c>
      <c r="K38" s="6">
        <v>0</v>
      </c>
      <c r="L38" s="5">
        <v>0</v>
      </c>
      <c r="M38" s="6">
        <v>0</v>
      </c>
    </row>
    <row r="39" spans="1:13" x14ac:dyDescent="0.2">
      <c r="A39" s="2" t="s">
        <v>57</v>
      </c>
      <c r="B39" s="5">
        <v>317875</v>
      </c>
      <c r="C39" s="5">
        <v>25249</v>
      </c>
      <c r="D39" s="6">
        <v>0.08</v>
      </c>
      <c r="E39" s="5">
        <v>0</v>
      </c>
      <c r="F39" s="6">
        <v>0</v>
      </c>
      <c r="G39" s="5">
        <v>0</v>
      </c>
      <c r="H39" s="5">
        <v>0</v>
      </c>
      <c r="I39" s="6">
        <v>0</v>
      </c>
      <c r="J39" s="5">
        <v>0</v>
      </c>
      <c r="K39" s="6">
        <v>0</v>
      </c>
      <c r="L39" s="5">
        <v>0</v>
      </c>
      <c r="M39" s="6">
        <v>0</v>
      </c>
    </row>
    <row r="40" spans="1:13" x14ac:dyDescent="0.2">
      <c r="A40" s="2" t="s">
        <v>58</v>
      </c>
      <c r="B40" s="5">
        <v>72</v>
      </c>
      <c r="C40" s="5">
        <v>78</v>
      </c>
      <c r="D40" s="6">
        <v>1.08</v>
      </c>
      <c r="E40" s="5">
        <v>86</v>
      </c>
      <c r="F40" s="6">
        <v>1.1000000000000001</v>
      </c>
      <c r="G40" s="5">
        <v>76</v>
      </c>
      <c r="H40" s="5">
        <v>6</v>
      </c>
      <c r="I40" s="6">
        <v>7.0000000000000007E-2</v>
      </c>
      <c r="J40" s="5">
        <v>1</v>
      </c>
      <c r="K40" s="6">
        <v>0.17</v>
      </c>
      <c r="L40" s="5">
        <v>1</v>
      </c>
      <c r="M40" s="6">
        <v>1</v>
      </c>
    </row>
    <row r="41" spans="1:13" x14ac:dyDescent="0.2">
      <c r="A41" s="2" t="s">
        <v>59</v>
      </c>
      <c r="B41" s="5">
        <v>68</v>
      </c>
      <c r="C41" s="5">
        <v>81</v>
      </c>
      <c r="D41" s="6">
        <v>1.19</v>
      </c>
      <c r="E41" s="5">
        <v>79</v>
      </c>
      <c r="F41" s="6">
        <v>0.98</v>
      </c>
      <c r="G41" s="5">
        <v>77</v>
      </c>
      <c r="H41" s="5">
        <v>18</v>
      </c>
      <c r="I41" s="6">
        <v>0.23</v>
      </c>
      <c r="J41" s="5">
        <v>2</v>
      </c>
      <c r="K41" s="6">
        <v>0.11</v>
      </c>
      <c r="L41" s="5">
        <v>2</v>
      </c>
      <c r="M41" s="6">
        <v>1</v>
      </c>
    </row>
    <row r="42" spans="1:13" x14ac:dyDescent="0.2">
      <c r="A42" s="2" t="s">
        <v>60</v>
      </c>
      <c r="B42" s="5">
        <v>225</v>
      </c>
      <c r="C42" s="5">
        <v>251</v>
      </c>
      <c r="D42" s="6">
        <v>1.1200000000000001</v>
      </c>
      <c r="E42" s="5">
        <v>318</v>
      </c>
      <c r="F42" s="6">
        <v>1.27</v>
      </c>
      <c r="G42" s="5">
        <v>290</v>
      </c>
      <c r="H42" s="5">
        <v>33</v>
      </c>
      <c r="I42" s="6">
        <v>0.1</v>
      </c>
      <c r="J42" s="5">
        <v>5</v>
      </c>
      <c r="K42" s="6">
        <v>0.15</v>
      </c>
      <c r="L42" s="5">
        <v>5</v>
      </c>
      <c r="M42" s="6">
        <v>1</v>
      </c>
    </row>
    <row r="43" spans="1:13" x14ac:dyDescent="0.2">
      <c r="A43" s="2" t="s">
        <v>61</v>
      </c>
      <c r="B43" s="5">
        <v>13</v>
      </c>
      <c r="C43" s="5">
        <v>17</v>
      </c>
      <c r="D43" s="6">
        <v>1.31</v>
      </c>
      <c r="E43" s="5">
        <v>14</v>
      </c>
      <c r="F43" s="6">
        <v>0.82</v>
      </c>
      <c r="G43" s="5">
        <v>12</v>
      </c>
      <c r="H43" s="5">
        <v>0</v>
      </c>
      <c r="I43" s="6">
        <v>0</v>
      </c>
      <c r="J43" s="5">
        <v>0</v>
      </c>
      <c r="K43" s="6">
        <v>0</v>
      </c>
      <c r="L43" s="5">
        <v>0</v>
      </c>
      <c r="M43" s="6">
        <v>0</v>
      </c>
    </row>
    <row r="44" spans="1:13" x14ac:dyDescent="0.2">
      <c r="A44" s="2" t="s">
        <v>62</v>
      </c>
      <c r="B44" s="5">
        <v>13</v>
      </c>
      <c r="C44" s="5">
        <v>22</v>
      </c>
      <c r="D44" s="6">
        <v>1.69</v>
      </c>
      <c r="E44" s="5">
        <v>14</v>
      </c>
      <c r="F44" s="6">
        <v>0.64</v>
      </c>
      <c r="G44" s="5">
        <v>12</v>
      </c>
      <c r="H44" s="5">
        <v>1</v>
      </c>
      <c r="I44" s="6">
        <v>7.0000000000000007E-2</v>
      </c>
      <c r="J44" s="5">
        <v>0</v>
      </c>
      <c r="K44" s="6">
        <v>0</v>
      </c>
      <c r="L44" s="5">
        <v>0</v>
      </c>
      <c r="M44" s="6">
        <v>0</v>
      </c>
    </row>
    <row r="45" spans="1:13" x14ac:dyDescent="0.2">
      <c r="A45" s="2" t="s">
        <v>63</v>
      </c>
      <c r="B45" s="5">
        <v>12</v>
      </c>
      <c r="C45" s="5">
        <v>18</v>
      </c>
      <c r="D45" s="6">
        <v>1.5</v>
      </c>
      <c r="E45" s="5">
        <v>14</v>
      </c>
      <c r="F45" s="6">
        <v>0.78</v>
      </c>
      <c r="G45" s="5">
        <v>14</v>
      </c>
      <c r="H45" s="5">
        <v>3</v>
      </c>
      <c r="I45" s="6">
        <v>0.21</v>
      </c>
      <c r="J45" s="5">
        <v>1</v>
      </c>
      <c r="K45" s="6">
        <v>0.33</v>
      </c>
      <c r="L45" s="5">
        <v>1</v>
      </c>
      <c r="M45" s="6">
        <v>1</v>
      </c>
    </row>
    <row r="46" spans="1:13" x14ac:dyDescent="0.2">
      <c r="A46" s="2" t="s">
        <v>64</v>
      </c>
      <c r="B46" s="5">
        <v>5</v>
      </c>
      <c r="C46" s="5">
        <v>9</v>
      </c>
      <c r="D46" s="6">
        <v>1.8</v>
      </c>
      <c r="E46" s="5">
        <v>7</v>
      </c>
      <c r="F46" s="6">
        <v>0.78</v>
      </c>
      <c r="G46" s="5">
        <v>6</v>
      </c>
      <c r="H46" s="5">
        <v>1</v>
      </c>
      <c r="I46" s="6">
        <v>0.14000000000000001</v>
      </c>
      <c r="J46" s="5">
        <v>0</v>
      </c>
      <c r="K46" s="6">
        <v>0</v>
      </c>
      <c r="L46" s="5">
        <v>0</v>
      </c>
      <c r="M46" s="6">
        <v>0</v>
      </c>
    </row>
    <row r="47" spans="1:13" x14ac:dyDescent="0.2">
      <c r="A47" s="2" t="s">
        <v>65</v>
      </c>
      <c r="B47" s="5">
        <v>54</v>
      </c>
      <c r="C47" s="5">
        <v>68</v>
      </c>
      <c r="D47" s="6">
        <v>1.26</v>
      </c>
      <c r="E47" s="5">
        <v>56</v>
      </c>
      <c r="F47" s="6">
        <v>0.82</v>
      </c>
      <c r="G47" s="5">
        <v>49</v>
      </c>
      <c r="H47" s="5">
        <v>8</v>
      </c>
      <c r="I47" s="6">
        <v>0.14000000000000001</v>
      </c>
      <c r="J47" s="5">
        <v>1</v>
      </c>
      <c r="K47" s="6">
        <v>0.13</v>
      </c>
      <c r="L47" s="5">
        <v>1</v>
      </c>
      <c r="M47" s="6">
        <v>1</v>
      </c>
    </row>
    <row r="48" spans="1:13" x14ac:dyDescent="0.2">
      <c r="A48" s="2" t="s">
        <v>66</v>
      </c>
      <c r="B48" s="5">
        <v>91</v>
      </c>
      <c r="C48" s="5">
        <v>117</v>
      </c>
      <c r="D48" s="6">
        <v>1.29</v>
      </c>
      <c r="E48" s="5">
        <v>96</v>
      </c>
      <c r="F48" s="6">
        <v>0.82</v>
      </c>
      <c r="G48" s="5">
        <v>86</v>
      </c>
      <c r="H48" s="5">
        <v>20</v>
      </c>
      <c r="I48" s="6">
        <v>0.21</v>
      </c>
      <c r="J48" s="5">
        <v>4</v>
      </c>
      <c r="K48" s="6">
        <v>0.2</v>
      </c>
      <c r="L48" s="5">
        <v>3</v>
      </c>
      <c r="M48" s="6">
        <v>0.75</v>
      </c>
    </row>
    <row r="49" spans="1:13" x14ac:dyDescent="0.2">
      <c r="A49" s="2" t="s">
        <v>67</v>
      </c>
      <c r="B49" s="5">
        <v>1</v>
      </c>
      <c r="C49" s="5">
        <v>1</v>
      </c>
      <c r="D49" s="6">
        <v>1</v>
      </c>
      <c r="E49" s="5">
        <v>1</v>
      </c>
      <c r="F49" s="6">
        <v>1</v>
      </c>
      <c r="G49" s="5">
        <v>1</v>
      </c>
      <c r="H49" s="5">
        <v>0</v>
      </c>
      <c r="I49" s="6">
        <v>0</v>
      </c>
      <c r="J49" s="5">
        <v>0</v>
      </c>
      <c r="K49" s="6">
        <v>0</v>
      </c>
      <c r="L49" s="5">
        <v>0</v>
      </c>
      <c r="M49" s="6">
        <v>0</v>
      </c>
    </row>
    <row r="50" spans="1:13" x14ac:dyDescent="0.2">
      <c r="A50" s="2" t="s">
        <v>68</v>
      </c>
      <c r="B50" s="5">
        <v>72</v>
      </c>
      <c r="C50" s="5">
        <v>78</v>
      </c>
      <c r="D50" s="6">
        <v>1.08</v>
      </c>
      <c r="E50" s="5">
        <v>89</v>
      </c>
      <c r="F50" s="6">
        <v>1.1399999999999999</v>
      </c>
      <c r="G50" s="5">
        <v>80</v>
      </c>
      <c r="H50" s="5">
        <v>16</v>
      </c>
      <c r="I50" s="6">
        <v>0.18</v>
      </c>
      <c r="J50" s="5">
        <v>3</v>
      </c>
      <c r="K50" s="6">
        <v>0.19</v>
      </c>
      <c r="L50" s="5">
        <v>3</v>
      </c>
      <c r="M50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LATAM property</vt:lpstr>
      <vt:lpstr>CountryName	Total CTR	Unique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Renzo Proano</cp:lastModifiedBy>
  <dcterms:modified xsi:type="dcterms:W3CDTF">2026-08-17T14:52:51Z</dcterms:modified>
</cp:coreProperties>
</file>