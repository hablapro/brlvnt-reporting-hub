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thony.passaretti\Desktop\"/>
    </mc:Choice>
  </mc:AlternateContent>
  <xr:revisionPtr revIDLastSave="0" documentId="13_ncr:1_{EB18CDCF-3723-469B-B4B5-64201D9970B5}" xr6:coauthVersionLast="47" xr6:coauthVersionMax="47" xr10:uidLastSave="{00000000-0000-0000-0000-000000000000}"/>
  <bookViews>
    <workbookView xWindow="21345" yWindow="-21720" windowWidth="38640" windowHeight="21840" xr2:uid="{00000000-000D-0000-FFFF-FFFF00000000}"/>
  </bookViews>
  <sheets>
    <sheet name="Summary" sheetId="1" r:id="rId1"/>
    <sheet name="Performance" sheetId="2" r:id="rId2"/>
    <sheet name="Diagnostics" sheetId="3" r:id="rId3"/>
    <sheet name="Data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21" i="2"/>
  <c r="G20" i="2"/>
  <c r="G19" i="2"/>
  <c r="G18" i="2"/>
  <c r="L22" i="2"/>
  <c r="L21" i="2"/>
  <c r="L20" i="2"/>
  <c r="L19" i="2"/>
  <c r="L18" i="2"/>
  <c r="B22" i="2"/>
  <c r="J22" i="2" s="1"/>
  <c r="B21" i="2"/>
  <c r="J21" i="2" s="1"/>
  <c r="B20" i="2"/>
  <c r="J20" i="2" s="1"/>
  <c r="B19" i="2"/>
  <c r="J19" i="2" s="1"/>
  <c r="B18" i="2"/>
  <c r="J18" i="2" s="1"/>
  <c r="I13" i="2"/>
  <c r="I12" i="2"/>
  <c r="I11" i="2"/>
  <c r="I10" i="2"/>
  <c r="I9" i="2"/>
  <c r="I8" i="2"/>
  <c r="I7" i="2"/>
  <c r="I6" i="2"/>
  <c r="I5" i="2"/>
  <c r="I4" i="2"/>
  <c r="I3" i="2"/>
  <c r="I2" i="2"/>
  <c r="N13" i="2"/>
  <c r="N12" i="2"/>
  <c r="N11" i="2"/>
  <c r="N10" i="2"/>
  <c r="N9" i="2"/>
  <c r="N8" i="2"/>
  <c r="N7" i="2"/>
  <c r="N6" i="2"/>
  <c r="N5" i="2"/>
  <c r="N4" i="2"/>
  <c r="N3" i="2"/>
  <c r="N2" i="2"/>
  <c r="M14" i="2"/>
  <c r="N14" i="2" s="1"/>
  <c r="F13" i="2"/>
  <c r="F12" i="2"/>
  <c r="F11" i="2"/>
  <c r="F10" i="2"/>
  <c r="F9" i="2"/>
  <c r="F8" i="2"/>
  <c r="F7" i="2"/>
  <c r="F6" i="2"/>
  <c r="F5" i="2"/>
  <c r="F4" i="2"/>
  <c r="F3" i="2"/>
  <c r="F2" i="2"/>
  <c r="K14" i="2"/>
  <c r="E14" i="2"/>
  <c r="F14" i="2" s="1"/>
  <c r="D14" i="2"/>
  <c r="C13" i="2"/>
  <c r="H13" i="2" s="1"/>
  <c r="C12" i="2"/>
  <c r="H12" i="2" s="1"/>
  <c r="C11" i="2"/>
  <c r="H11" i="2" s="1"/>
  <c r="C10" i="2"/>
  <c r="H10" i="2" s="1"/>
  <c r="C9" i="2"/>
  <c r="H9" i="2" s="1"/>
  <c r="C8" i="2"/>
  <c r="H8" i="2" s="1"/>
  <c r="C7" i="2"/>
  <c r="H7" i="2" s="1"/>
  <c r="C6" i="2"/>
  <c r="H6" i="2" s="1"/>
  <c r="C5" i="2"/>
  <c r="H5" i="2" s="1"/>
  <c r="C4" i="2"/>
  <c r="L4" i="2" s="1"/>
  <c r="C3" i="2"/>
  <c r="L3" i="2" s="1"/>
  <c r="C2" i="2"/>
  <c r="L2" i="2" s="1"/>
  <c r="B5" i="3"/>
  <c r="B4" i="3"/>
  <c r="B3" i="3"/>
  <c r="B20" i="1"/>
  <c r="B18" i="1"/>
  <c r="B15" i="1"/>
  <c r="B12" i="1"/>
  <c r="I14" i="2" l="1"/>
  <c r="H2" i="2"/>
  <c r="H3" i="2"/>
  <c r="H4" i="2"/>
  <c r="L5" i="2"/>
  <c r="L6" i="2"/>
  <c r="L7" i="2"/>
  <c r="L8" i="2"/>
  <c r="L10" i="2"/>
  <c r="L11" i="2"/>
  <c r="L12" i="2"/>
  <c r="L13" i="2"/>
  <c r="L9" i="2"/>
  <c r="C14" i="2"/>
  <c r="H14" i="2" l="1"/>
  <c r="L14" i="2"/>
</calcChain>
</file>

<file path=xl/sharedStrings.xml><?xml version="1.0" encoding="utf-8"?>
<sst xmlns="http://schemas.openxmlformats.org/spreadsheetml/2006/main" count="127" uniqueCount="90">
  <si>
    <t>Client</t>
  </si>
  <si>
    <t>Geo</t>
  </si>
  <si>
    <t>Reporting Period</t>
  </si>
  <si>
    <t>Channel</t>
  </si>
  <si>
    <t>Programmatic (Azerion)</t>
  </si>
  <si>
    <t>Currency</t>
  </si>
  <si>
    <t>USD</t>
  </si>
  <si>
    <t>Attribution</t>
  </si>
  <si>
    <t>Data Freshness</t>
  </si>
  <si>
    <t>KPI</t>
  </si>
  <si>
    <t>Value</t>
  </si>
  <si>
    <t>Spend</t>
  </si>
  <si>
    <t>Impressions</t>
  </si>
  <si>
    <t>Clicks</t>
  </si>
  <si>
    <t>CTR</t>
  </si>
  <si>
    <t>CPM</t>
  </si>
  <si>
    <t>Device Reach</t>
  </si>
  <si>
    <t>Device Frequency</t>
  </si>
  <si>
    <t>Results (Conversions)</t>
  </si>
  <si>
    <t>CPA (Cost Per Result)</t>
  </si>
  <si>
    <t>Viewability</t>
  </si>
  <si>
    <t>Campaign</t>
  </si>
  <si>
    <t>Ad Set</t>
  </si>
  <si>
    <t>CPC</t>
  </si>
  <si>
    <t>Results</t>
  </si>
  <si>
    <t>CPA</t>
  </si>
  <si>
    <t>Total</t>
  </si>
  <si>
    <t>Weekly Trend — Conversion Campaign</t>
  </si>
  <si>
    <t>Week</t>
  </si>
  <si>
    <t>Reach</t>
  </si>
  <si>
    <t>Frequency</t>
  </si>
  <si>
    <t>Device Type Breakdown — Conversion Campaign</t>
  </si>
  <si>
    <t>Device</t>
  </si>
  <si>
    <t>Desktop</t>
  </si>
  <si>
    <t>Smartphone</t>
  </si>
  <si>
    <t>Tablet</t>
  </si>
  <si>
    <t>Data Notes</t>
  </si>
  <si>
    <t>Field</t>
  </si>
  <si>
    <t>Source Platform</t>
  </si>
  <si>
    <t>Azerion</t>
  </si>
  <si>
    <t>Account</t>
  </si>
  <si>
    <t>Forex (ID: 9969644)</t>
  </si>
  <si>
    <t>Geo Filter</t>
  </si>
  <si>
    <t>Timezone</t>
  </si>
  <si>
    <t>America/New_York</t>
  </si>
  <si>
    <t>Attribution Model</t>
  </si>
  <si>
    <t>Click Definition</t>
  </si>
  <si>
    <t>Clicks (Advanced IVT) — filtered, excludes invalid traffic</t>
  </si>
  <si>
    <t>Reach Definition</t>
  </si>
  <si>
    <t>Device Reach — unique devices, not unique people</t>
  </si>
  <si>
    <t>Frequency Definition</t>
  </si>
  <si>
    <t>Device Frequency — impressions per unique device</t>
  </si>
  <si>
    <t>Viewability Standard</t>
  </si>
  <si>
    <t>IAB — Viewable Impressions / Measured Impressions</t>
  </si>
  <si>
    <t>Known Limitations</t>
  </si>
  <si>
    <t>LATAM</t>
  </si>
  <si>
    <t xml:space="preserve">Forex / GGMI </t>
  </si>
  <si>
    <t>Conversion_Commodities</t>
  </si>
  <si>
    <t>Conversion_Instruments</t>
  </si>
  <si>
    <t>Experience</t>
  </si>
  <si>
    <t>Global Market</t>
  </si>
  <si>
    <t>TradeForex</t>
  </si>
  <si>
    <t>Executive Summary</t>
  </si>
  <si>
    <t>Campaign Highlights</t>
  </si>
  <si>
    <t>Suggested Optimizations</t>
  </si>
  <si>
    <t>Next Steps</t>
  </si>
  <si>
    <t>Move inefficient budget into upper funnel tactics to create better brand perception, awaeness &amp; performance further down the line</t>
  </si>
  <si>
    <t>Jul 1st–31st, 2026</t>
  </si>
  <si>
    <t>Forex GGMI  (LATAM) — July 2026 Azerion Report</t>
  </si>
  <si>
    <t>Jul 1st-31stth, 2026</t>
  </si>
  <si>
    <t>Brand</t>
  </si>
  <si>
    <t>Decision_TV</t>
  </si>
  <si>
    <t>Platform</t>
  </si>
  <si>
    <t>TV</t>
  </si>
  <si>
    <t>WCUP_Market</t>
  </si>
  <si>
    <t>WCUP_Strategy</t>
  </si>
  <si>
    <t>WCUP_Trust</t>
  </si>
  <si>
    <t>Viewable Imps</t>
  </si>
  <si>
    <t>July 1-7</t>
  </si>
  <si>
    <t>July 8-14</t>
  </si>
  <si>
    <t>July 15-21</t>
  </si>
  <si>
    <t>July 22-28</t>
  </si>
  <si>
    <t>July 29-31</t>
  </si>
  <si>
    <t>Highest application month so far - 41, a 28% increase over June.</t>
  </si>
  <si>
    <t>Maintained the CPA from June despite increasing budget from $25k to $34k.</t>
  </si>
  <si>
    <t>Ended the month strong with $340 CPA nd 11 applications the last 3 days.</t>
  </si>
  <si>
    <t>Site visits increased from 7,091 in June to 12,915 in July.</t>
  </si>
  <si>
    <t>Maintained Step 1 conversions (342 in June, 343 in July).</t>
  </si>
  <si>
    <t>Still very prospecting focused due to lack of upper funnel support.</t>
  </si>
  <si>
    <t>Need to continue to scale Native so that the Display campaign can focus on converting people who have entered the funnel.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</si>
</sst>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 d\,\ yyyy"/>
    <numFmt numFmtId="165" formatCode="&quot;$&quot;#,##0.00"/>
    <numFmt numFmtId="166" formatCode="_-[$$-409]* #,##0.00_ ;_-[$$-409]* \-#,##0.00\ ;_-[$$-409]* &quot;-&quot;??_ ;_-@_ "/>
    <numFmt numFmtId="167" formatCode="_(* #,##0_);_(* \(#,##0\);_(* &quot;-&quot;??_);_(@_)"/>
  </numFmts>
  <fonts count="13" x14ac:knownFonts="1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3"/>
      <color rgb="FF1A2A39"/>
      <name val="Arial"/>
      <family val="2"/>
    </font>
    <font>
      <b/>
      <sz val="10"/>
      <color rgb="FFFFFFFF"/>
      <name val="Arial"/>
      <family val="2"/>
    </font>
    <font>
      <b/>
      <sz val="12"/>
      <color rgb="FF1A2A39"/>
      <name val="Arial"/>
      <family val="2"/>
    </font>
    <font>
      <b/>
      <sz val="14"/>
      <color rgb="FFFFFFFF"/>
      <name val="Arial"/>
      <family val="2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2A39"/>
        <bgColor rgb="FF1A2A39"/>
      </patternFill>
    </fill>
    <fill>
      <patternFill patternType="solid">
        <fgColor rgb="FFF3F3F3"/>
        <bgColor rgb="FFF3F3F3"/>
      </patternFill>
    </fill>
    <fill>
      <patternFill patternType="solid">
        <fgColor rgb="FF3A5897"/>
        <bgColor rgb="FF3A5897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4" tint="0.39997558519241921"/>
        <bgColor theme="4" tint="0.39997558519241921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55">
    <xf numFmtId="0" fontId="0" fillId="0" borderId="0" xfId="0"/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0" fontId="2" fillId="5" borderId="0" xfId="0" applyFont="1" applyFill="1"/>
    <xf numFmtId="10" fontId="5" fillId="0" borderId="0" xfId="0" applyNumberFormat="1" applyFont="1"/>
    <xf numFmtId="3" fontId="3" fillId="3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10" fontId="3" fillId="3" borderId="0" xfId="0" applyNumberFormat="1" applyFont="1" applyFill="1" applyAlignment="1">
      <alignment horizontal="right"/>
    </xf>
    <xf numFmtId="165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0" fontId="7" fillId="4" borderId="0" xfId="0" applyFont="1" applyFill="1"/>
    <xf numFmtId="0" fontId="3" fillId="5" borderId="0" xfId="0" applyFont="1" applyFill="1"/>
    <xf numFmtId="10" fontId="3" fillId="5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8" fillId="0" borderId="0" xfId="0" applyFont="1"/>
    <xf numFmtId="166" fontId="0" fillId="0" borderId="2" xfId="0" applyNumberFormat="1" applyBorder="1"/>
    <xf numFmtId="0" fontId="0" fillId="0" borderId="2" xfId="0" applyBorder="1"/>
    <xf numFmtId="10" fontId="0" fillId="0" borderId="2" xfId="0" applyNumberFormat="1" applyBorder="1"/>
    <xf numFmtId="166" fontId="0" fillId="6" borderId="3" xfId="0" applyNumberFormat="1" applyFill="1" applyBorder="1"/>
    <xf numFmtId="10" fontId="0" fillId="6" borderId="3" xfId="0" applyNumberFormat="1" applyFill="1" applyBorder="1"/>
    <xf numFmtId="0" fontId="0" fillId="0" borderId="2" xfId="0" applyBorder="1" applyAlignment="1">
      <alignment horizontal="left" indent="1"/>
    </xf>
    <xf numFmtId="166" fontId="10" fillId="7" borderId="2" xfId="0" applyNumberFormat="1" applyFont="1" applyFill="1" applyBorder="1"/>
    <xf numFmtId="0" fontId="10" fillId="7" borderId="2" xfId="0" applyFont="1" applyFill="1" applyBorder="1"/>
    <xf numFmtId="10" fontId="10" fillId="7" borderId="2" xfId="0" applyNumberFormat="1" applyFont="1" applyFill="1" applyBorder="1"/>
    <xf numFmtId="166" fontId="3" fillId="5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0" fontId="3" fillId="0" borderId="0" xfId="0" applyFont="1" applyAlignment="1">
      <alignment wrapText="1"/>
    </xf>
    <xf numFmtId="0" fontId="6" fillId="0" borderId="0" xfId="0" applyFont="1"/>
    <xf numFmtId="0" fontId="3" fillId="0" borderId="0" xfId="0" applyFont="1"/>
    <xf numFmtId="10" fontId="10" fillId="0" borderId="2" xfId="0" applyNumberFormat="1" applyFont="1" applyBorder="1"/>
    <xf numFmtId="166" fontId="0" fillId="0" borderId="0" xfId="0" applyNumberFormat="1"/>
    <xf numFmtId="0" fontId="11" fillId="0" borderId="0" xfId="0" applyFont="1"/>
    <xf numFmtId="167" fontId="0" fillId="6" borderId="3" xfId="1" applyNumberFormat="1" applyFont="1" applyFill="1" applyBorder="1"/>
    <xf numFmtId="44" fontId="0" fillId="6" borderId="3" xfId="2" applyFont="1" applyFill="1" applyBorder="1"/>
    <xf numFmtId="43" fontId="0" fillId="6" borderId="3" xfId="0" applyNumberFormat="1" applyFill="1" applyBorder="1"/>
    <xf numFmtId="0" fontId="3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8" fillId="0" borderId="0" xfId="0" applyFont="1"/>
    <xf numFmtId="0" fontId="9" fillId="2" borderId="0" xfId="0" applyFont="1" applyFill="1" applyAlignment="1">
      <alignment vertical="center"/>
    </xf>
    <xf numFmtId="43" fontId="10" fillId="7" borderId="2" xfId="1" applyFont="1" applyFill="1" applyBorder="1"/>
    <xf numFmtId="167" fontId="10" fillId="7" borderId="2" xfId="1" applyNumberFormat="1" applyFont="1" applyFill="1" applyBorder="1"/>
    <xf numFmtId="43" fontId="0" fillId="0" borderId="2" xfId="1" applyFont="1" applyBorder="1"/>
    <xf numFmtId="167" fontId="0" fillId="0" borderId="2" xfId="1" applyNumberFormat="1" applyFont="1" applyBorder="1"/>
    <xf numFmtId="43" fontId="0" fillId="0" borderId="2" xfId="1" applyNumberFormat="1" applyFont="1" applyBorder="1"/>
    <xf numFmtId="44" fontId="0" fillId="0" borderId="2" xfId="2" applyFont="1" applyBorder="1"/>
    <xf numFmtId="10" fontId="10" fillId="0" borderId="0" xfId="0" applyNumberFormat="1" applyFont="1" applyBorder="1"/>
    <xf numFmtId="43" fontId="3" fillId="5" borderId="0" xfId="1" applyFont="1" applyFill="1" applyAlignment="1">
      <alignment horizontal="right"/>
    </xf>
    <xf numFmtId="43" fontId="3" fillId="3" borderId="0" xfId="1" applyFont="1" applyFill="1" applyAlignment="1">
      <alignment horizontal="right"/>
    </xf>
    <xf numFmtId="167" fontId="3" fillId="5" borderId="0" xfId="1" applyNumberFormat="1" applyFont="1" applyFill="1" applyAlignment="1">
      <alignment horizontal="right"/>
    </xf>
    <xf numFmtId="167" fontId="3" fillId="3" borderId="0" xfId="1" applyNumberFormat="1" applyFont="1" applyFill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1"/>
  <sheetViews>
    <sheetView showGridLines="0" tabSelected="1" workbookViewId="0">
      <pane ySplit="1" topLeftCell="A2" activePane="bottomLeft" state="frozen"/>
      <selection pane="bottomLeft" activeCell="A41" sqref="A41"/>
    </sheetView>
  </sheetViews>
  <sheetFormatPr defaultColWidth="12.6640625" defaultRowHeight="15.75" customHeight="1" x14ac:dyDescent="0.25"/>
  <cols>
    <col min="1" max="1" width="167.88671875" bestFit="1" customWidth="1"/>
    <col min="2" max="2" width="43.88671875" customWidth="1"/>
    <col min="6" max="26" width="12.6640625" hidden="1"/>
  </cols>
  <sheetData>
    <row r="1" spans="1:5" ht="37.5" customHeight="1" x14ac:dyDescent="0.25">
      <c r="A1" s="41" t="s">
        <v>68</v>
      </c>
      <c r="B1" s="40"/>
      <c r="C1" s="40"/>
      <c r="D1" s="40"/>
      <c r="E1" s="40"/>
    </row>
    <row r="3" spans="1:5" ht="13.2" x14ac:dyDescent="0.25">
      <c r="A3" s="1" t="s">
        <v>0</v>
      </c>
      <c r="B3" s="2" t="s">
        <v>56</v>
      </c>
    </row>
    <row r="4" spans="1:5" ht="13.2" x14ac:dyDescent="0.25">
      <c r="A4" s="1" t="s">
        <v>1</v>
      </c>
      <c r="B4" s="2" t="s">
        <v>55</v>
      </c>
    </row>
    <row r="5" spans="1:5" ht="13.2" x14ac:dyDescent="0.25">
      <c r="A5" s="1" t="s">
        <v>2</v>
      </c>
      <c r="B5" s="2" t="s">
        <v>67</v>
      </c>
    </row>
    <row r="6" spans="1:5" ht="13.2" x14ac:dyDescent="0.25">
      <c r="A6" s="1" t="s">
        <v>3</v>
      </c>
      <c r="B6" s="2" t="s">
        <v>4</v>
      </c>
    </row>
    <row r="7" spans="1:5" ht="13.2" x14ac:dyDescent="0.25">
      <c r="A7" s="1" t="s">
        <v>5</v>
      </c>
      <c r="B7" s="2" t="s">
        <v>6</v>
      </c>
    </row>
    <row r="8" spans="1:5" ht="13.2" x14ac:dyDescent="0.25">
      <c r="A8" s="1" t="s">
        <v>7</v>
      </c>
      <c r="B8" s="2"/>
    </row>
    <row r="9" spans="1:5" ht="13.2" x14ac:dyDescent="0.25">
      <c r="A9" s="1" t="s">
        <v>8</v>
      </c>
      <c r="B9" s="3"/>
    </row>
    <row r="11" spans="1:5" ht="13.8" x14ac:dyDescent="0.25">
      <c r="A11" s="4" t="s">
        <v>9</v>
      </c>
      <c r="B11" s="4" t="s">
        <v>10</v>
      </c>
    </row>
    <row r="12" spans="1:5" ht="13.2" x14ac:dyDescent="0.25">
      <c r="A12" s="5" t="s">
        <v>11</v>
      </c>
      <c r="B12" s="22">
        <f>B16*B13/1000</f>
        <v>34098.547500000001</v>
      </c>
      <c r="D12" s="6"/>
    </row>
    <row r="13" spans="1:5" ht="13.2" x14ac:dyDescent="0.25">
      <c r="A13" s="1" t="s">
        <v>12</v>
      </c>
      <c r="B13" s="36">
        <v>7577455</v>
      </c>
    </row>
    <row r="14" spans="1:5" ht="13.2" x14ac:dyDescent="0.25">
      <c r="A14" s="5" t="s">
        <v>13</v>
      </c>
      <c r="B14" s="36">
        <v>12915</v>
      </c>
    </row>
    <row r="15" spans="1:5" ht="13.2" x14ac:dyDescent="0.25">
      <c r="A15" s="1" t="s">
        <v>14</v>
      </c>
      <c r="B15" s="23">
        <f>B14/B13</f>
        <v>1.7043981125589001E-3</v>
      </c>
    </row>
    <row r="16" spans="1:5" ht="13.2" x14ac:dyDescent="0.25">
      <c r="A16" s="5" t="s">
        <v>15</v>
      </c>
      <c r="B16" s="37">
        <v>4.5</v>
      </c>
    </row>
    <row r="17" spans="1:5" ht="13.2" x14ac:dyDescent="0.25">
      <c r="A17" s="1" t="s">
        <v>16</v>
      </c>
      <c r="B17" s="36">
        <v>3067796</v>
      </c>
    </row>
    <row r="18" spans="1:5" ht="13.2" x14ac:dyDescent="0.25">
      <c r="A18" s="5" t="s">
        <v>17</v>
      </c>
      <c r="B18" s="38">
        <f>B13/B17</f>
        <v>2.4699996349170545</v>
      </c>
    </row>
    <row r="19" spans="1:5" ht="13.2" x14ac:dyDescent="0.25">
      <c r="A19" s="1" t="s">
        <v>18</v>
      </c>
      <c r="B19" s="36">
        <v>41</v>
      </c>
    </row>
    <row r="20" spans="1:5" ht="13.2" x14ac:dyDescent="0.25">
      <c r="A20" s="5" t="s">
        <v>19</v>
      </c>
      <c r="B20" s="22">
        <f>B12/B19</f>
        <v>831.67189024390245</v>
      </c>
    </row>
    <row r="21" spans="1:5" ht="13.2" x14ac:dyDescent="0.25">
      <c r="A21" s="13"/>
    </row>
    <row r="22" spans="1:5" ht="13.2" x14ac:dyDescent="0.25">
      <c r="A22" s="1" t="s">
        <v>20</v>
      </c>
      <c r="B22" s="23">
        <v>0.82469999999999999</v>
      </c>
    </row>
    <row r="24" spans="1:5" ht="16.8" x14ac:dyDescent="0.3">
      <c r="A24" s="31"/>
    </row>
    <row r="25" spans="1:5" ht="16.8" x14ac:dyDescent="0.3">
      <c r="A25" s="31" t="s">
        <v>62</v>
      </c>
    </row>
    <row r="26" spans="1:5" ht="13.2" x14ac:dyDescent="0.25">
      <c r="A26" s="39" t="s">
        <v>83</v>
      </c>
      <c r="B26" s="40"/>
      <c r="C26" s="40"/>
      <c r="D26" s="40"/>
      <c r="E26" s="40"/>
    </row>
    <row r="27" spans="1:5" ht="13.2" x14ac:dyDescent="0.25">
      <c r="A27" s="35" t="s">
        <v>84</v>
      </c>
    </row>
    <row r="28" spans="1:5" ht="15.75" customHeight="1" x14ac:dyDescent="0.25">
      <c r="A28" s="35" t="s">
        <v>85</v>
      </c>
    </row>
    <row r="30" spans="1:5" ht="15.75" customHeight="1" x14ac:dyDescent="0.3">
      <c r="A30" s="31" t="s">
        <v>63</v>
      </c>
    </row>
    <row r="31" spans="1:5" ht="15.75" customHeight="1" x14ac:dyDescent="0.25">
      <c r="A31" s="30" t="s">
        <v>86</v>
      </c>
    </row>
    <row r="32" spans="1:5" ht="15.75" customHeight="1" x14ac:dyDescent="0.25">
      <c r="A32" s="30" t="s">
        <v>87</v>
      </c>
    </row>
    <row r="33" spans="1:1" ht="15.75" customHeight="1" x14ac:dyDescent="0.25">
      <c r="A33" s="30"/>
    </row>
    <row r="35" spans="1:1" ht="15.75" customHeight="1" x14ac:dyDescent="0.3">
      <c r="A35" s="31" t="s">
        <v>64</v>
      </c>
    </row>
    <row r="36" spans="1:1" ht="15.75" customHeight="1" x14ac:dyDescent="0.25">
      <c r="A36" s="30" t="s">
        <v>88</v>
      </c>
    </row>
    <row r="37" spans="1:1" ht="15.75" customHeight="1" x14ac:dyDescent="0.25">
      <c r="A37" s="30" t="s">
        <v>89</v>
      </c>
    </row>
    <row r="40" spans="1:1" ht="15.75" customHeight="1" x14ac:dyDescent="0.3">
      <c r="A40" s="31" t="s">
        <v>65</v>
      </c>
    </row>
    <row r="41" spans="1:1" ht="15.75" customHeight="1" x14ac:dyDescent="0.25">
      <c r="A41" s="30" t="s">
        <v>66</v>
      </c>
    </row>
  </sheetData>
  <mergeCells count="2">
    <mergeCell ref="A26:E26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2"/>
  <sheetViews>
    <sheetView showGridLines="0" workbookViewId="0">
      <pane ySplit="1" topLeftCell="A2" activePane="bottomLeft" state="frozen"/>
      <selection pane="bottomLeft" activeCell="A16" sqref="A16:N16"/>
    </sheetView>
  </sheetViews>
  <sheetFormatPr defaultColWidth="12.6640625" defaultRowHeight="15.75" customHeight="1" x14ac:dyDescent="0.25"/>
  <cols>
    <col min="1" max="1" width="12.21875" bestFit="1" customWidth="1"/>
    <col min="2" max="2" width="25.109375" customWidth="1"/>
    <col min="3" max="5" width="12.6640625" customWidth="1"/>
    <col min="6" max="6" width="12.6640625" style="34" customWidth="1"/>
    <col min="7" max="7" width="13.44140625" bestFit="1" customWidth="1"/>
    <col min="8" max="9" width="12.6640625" customWidth="1"/>
    <col min="10" max="10" width="16.6640625" style="34" bestFit="1" customWidth="1"/>
    <col min="11" max="11" width="14.109375" bestFit="1" customWidth="1"/>
    <col min="12" max="12" width="12.6640625" customWidth="1"/>
    <col min="13" max="13" width="14.109375" bestFit="1" customWidth="1"/>
    <col min="14" max="14" width="12.6640625" customWidth="1"/>
    <col min="15" max="27" width="12.6640625" hidden="1"/>
  </cols>
  <sheetData>
    <row r="1" spans="1:14" ht="13.2" x14ac:dyDescent="0.25">
      <c r="A1" s="14" t="s">
        <v>21</v>
      </c>
      <c r="B1" s="14" t="s">
        <v>22</v>
      </c>
      <c r="C1" s="14" t="s">
        <v>11</v>
      </c>
      <c r="D1" s="14" t="s">
        <v>12</v>
      </c>
      <c r="E1" s="14" t="s">
        <v>13</v>
      </c>
      <c r="F1" s="14" t="s">
        <v>14</v>
      </c>
      <c r="G1" s="14" t="s">
        <v>15</v>
      </c>
      <c r="H1" s="14" t="s">
        <v>23</v>
      </c>
      <c r="I1" s="14" t="s">
        <v>16</v>
      </c>
      <c r="J1" s="14" t="s">
        <v>17</v>
      </c>
      <c r="K1" s="14" t="s">
        <v>24</v>
      </c>
      <c r="L1" s="14" t="s">
        <v>25</v>
      </c>
      <c r="M1" s="14" t="s">
        <v>77</v>
      </c>
      <c r="N1" s="14" t="s">
        <v>20</v>
      </c>
    </row>
    <row r="2" spans="1:14" ht="15.75" customHeight="1" x14ac:dyDescent="0.25">
      <c r="A2" s="24" t="s">
        <v>55</v>
      </c>
      <c r="B2" s="24" t="s">
        <v>70</v>
      </c>
      <c r="C2" s="19">
        <f>D2*G2/1000</f>
        <v>2642.5619999999999</v>
      </c>
      <c r="D2" s="47">
        <v>587236</v>
      </c>
      <c r="E2" s="47">
        <v>1050</v>
      </c>
      <c r="F2" s="21">
        <f>E2/D2</f>
        <v>1.7880375181358091E-3</v>
      </c>
      <c r="G2" s="20">
        <v>4.5</v>
      </c>
      <c r="H2" s="19">
        <f>C2/E2</f>
        <v>2.5167257142857142</v>
      </c>
      <c r="I2" s="47">
        <f>D2/J2</f>
        <v>237747.40356174993</v>
      </c>
      <c r="J2" s="48">
        <v>2.4699996349170545</v>
      </c>
      <c r="K2" s="20">
        <v>0</v>
      </c>
      <c r="L2" s="49" t="e">
        <f>C2/K2</f>
        <v>#DIV/0!</v>
      </c>
      <c r="M2" s="47">
        <v>419167</v>
      </c>
      <c r="N2" s="21">
        <f>M2/D2</f>
        <v>0.7137964974899359</v>
      </c>
    </row>
    <row r="3" spans="1:14" ht="15.75" customHeight="1" x14ac:dyDescent="0.25">
      <c r="A3" s="24" t="s">
        <v>55</v>
      </c>
      <c r="B3" s="24" t="s">
        <v>57</v>
      </c>
      <c r="C3" s="19">
        <f t="shared" ref="C3:C13" si="0">D3*G3/1000</f>
        <v>2727.3420000000001</v>
      </c>
      <c r="D3" s="47">
        <v>606076</v>
      </c>
      <c r="E3" s="47">
        <v>994</v>
      </c>
      <c r="F3" s="21">
        <f t="shared" ref="F3:F13" si="1">E3/D3</f>
        <v>1.6400583425181E-3</v>
      </c>
      <c r="G3" s="20">
        <v>4.5</v>
      </c>
      <c r="H3" s="19">
        <f t="shared" ref="H3:H13" si="2">C3/E3</f>
        <v>2.7438048289738433</v>
      </c>
      <c r="I3" s="47">
        <f t="shared" ref="I3:I13" si="3">D3/J3</f>
        <v>245374.93505352389</v>
      </c>
      <c r="J3" s="48">
        <v>2.4699996349170545</v>
      </c>
      <c r="K3" s="20">
        <v>6</v>
      </c>
      <c r="L3" s="49">
        <f t="shared" ref="L3:L13" si="4">C3/K3</f>
        <v>454.55700000000002</v>
      </c>
      <c r="M3" s="47">
        <v>429654</v>
      </c>
      <c r="N3" s="21">
        <f t="shared" ref="N3:N13" si="5">M3/D3</f>
        <v>0.70891109365822114</v>
      </c>
    </row>
    <row r="4" spans="1:14" ht="15.75" customHeight="1" x14ac:dyDescent="0.25">
      <c r="A4" s="24" t="s">
        <v>55</v>
      </c>
      <c r="B4" s="24" t="s">
        <v>58</v>
      </c>
      <c r="C4" s="19">
        <f t="shared" si="0"/>
        <v>2770.2359999999999</v>
      </c>
      <c r="D4" s="47">
        <v>615608</v>
      </c>
      <c r="E4" s="47">
        <v>1026</v>
      </c>
      <c r="F4" s="21">
        <f t="shared" si="1"/>
        <v>1.6666450078621461E-3</v>
      </c>
      <c r="G4" s="20">
        <v>4.5</v>
      </c>
      <c r="H4" s="19">
        <f t="shared" si="2"/>
        <v>2.7000350877192982</v>
      </c>
      <c r="I4" s="47">
        <f t="shared" si="3"/>
        <v>249234.04493566771</v>
      </c>
      <c r="J4" s="48">
        <v>2.4699996349170545</v>
      </c>
      <c r="K4" s="20">
        <v>9</v>
      </c>
      <c r="L4" s="49">
        <f t="shared" si="4"/>
        <v>307.80399999999997</v>
      </c>
      <c r="M4" s="47">
        <v>436994</v>
      </c>
      <c r="N4" s="21">
        <f t="shared" si="5"/>
        <v>0.70985757170147235</v>
      </c>
    </row>
    <row r="5" spans="1:14" ht="15.75" customHeight="1" x14ac:dyDescent="0.25">
      <c r="A5" s="24" t="s">
        <v>55</v>
      </c>
      <c r="B5" s="24" t="s">
        <v>71</v>
      </c>
      <c r="C5" s="19">
        <f t="shared" si="0"/>
        <v>2928.0645</v>
      </c>
      <c r="D5" s="47">
        <v>650681</v>
      </c>
      <c r="E5" s="47">
        <v>1177</v>
      </c>
      <c r="F5" s="21">
        <f t="shared" si="1"/>
        <v>1.8088740873023802E-3</v>
      </c>
      <c r="G5" s="20">
        <v>4.5</v>
      </c>
      <c r="H5" s="19">
        <f t="shared" si="2"/>
        <v>2.4877353440951571</v>
      </c>
      <c r="I5" s="47">
        <f t="shared" si="3"/>
        <v>263433.642176166</v>
      </c>
      <c r="J5" s="48">
        <v>2.4699996349170545</v>
      </c>
      <c r="K5" s="20">
        <v>0</v>
      </c>
      <c r="L5" s="49" t="e">
        <f t="shared" si="4"/>
        <v>#DIV/0!</v>
      </c>
      <c r="M5" s="47">
        <v>459339</v>
      </c>
      <c r="N5" s="21">
        <f t="shared" si="5"/>
        <v>0.70593578112777233</v>
      </c>
    </row>
    <row r="6" spans="1:14" ht="15.75" customHeight="1" x14ac:dyDescent="0.25">
      <c r="A6" s="24" t="s">
        <v>55</v>
      </c>
      <c r="B6" s="24" t="s">
        <v>59</v>
      </c>
      <c r="C6" s="19">
        <f t="shared" si="0"/>
        <v>5607.8459999999995</v>
      </c>
      <c r="D6" s="47">
        <v>1246188</v>
      </c>
      <c r="E6" s="47">
        <v>2070</v>
      </c>
      <c r="F6" s="21">
        <f t="shared" si="1"/>
        <v>1.6610655856098759E-3</v>
      </c>
      <c r="G6" s="20">
        <v>4.5</v>
      </c>
      <c r="H6" s="19">
        <f t="shared" si="2"/>
        <v>2.7091043478260866</v>
      </c>
      <c r="I6" s="47">
        <f t="shared" si="3"/>
        <v>504529.62922881095</v>
      </c>
      <c r="J6" s="48">
        <v>2.4699996349170545</v>
      </c>
      <c r="K6" s="20">
        <v>10</v>
      </c>
      <c r="L6" s="49">
        <f t="shared" si="4"/>
        <v>560.78459999999995</v>
      </c>
      <c r="M6" s="47">
        <v>886433</v>
      </c>
      <c r="N6" s="21">
        <f t="shared" si="5"/>
        <v>0.7113156281395745</v>
      </c>
    </row>
    <row r="7" spans="1:14" ht="15.75" customHeight="1" x14ac:dyDescent="0.25">
      <c r="A7" s="24" t="s">
        <v>55</v>
      </c>
      <c r="B7" s="24" t="s">
        <v>60</v>
      </c>
      <c r="C7" s="19">
        <f t="shared" si="0"/>
        <v>3017.6864999999998</v>
      </c>
      <c r="D7" s="47">
        <v>670597</v>
      </c>
      <c r="E7" s="47">
        <v>1052</v>
      </c>
      <c r="F7" s="21">
        <f t="shared" si="1"/>
        <v>1.5687514259682045E-3</v>
      </c>
      <c r="G7" s="20">
        <v>4.5</v>
      </c>
      <c r="H7" s="19">
        <f t="shared" si="2"/>
        <v>2.868523288973384</v>
      </c>
      <c r="I7" s="47">
        <f t="shared" si="3"/>
        <v>271496.80126269307</v>
      </c>
      <c r="J7" s="48">
        <v>2.4699996349170545</v>
      </c>
      <c r="K7" s="20">
        <v>2</v>
      </c>
      <c r="L7" s="49">
        <f t="shared" si="4"/>
        <v>1508.8432499999999</v>
      </c>
      <c r="M7" s="47">
        <v>477366</v>
      </c>
      <c r="N7" s="21">
        <f t="shared" si="5"/>
        <v>0.71185227491324898</v>
      </c>
    </row>
    <row r="8" spans="1:14" ht="15.75" customHeight="1" x14ac:dyDescent="0.25">
      <c r="A8" s="24" t="s">
        <v>55</v>
      </c>
      <c r="B8" s="24" t="s">
        <v>72</v>
      </c>
      <c r="C8" s="19">
        <f t="shared" si="0"/>
        <v>2593.2465000000002</v>
      </c>
      <c r="D8" s="47">
        <v>576277</v>
      </c>
      <c r="E8" s="47">
        <v>973</v>
      </c>
      <c r="F8" s="21">
        <f t="shared" si="1"/>
        <v>1.6884241432505549E-3</v>
      </c>
      <c r="G8" s="20">
        <v>4.5</v>
      </c>
      <c r="H8" s="19">
        <f t="shared" si="2"/>
        <v>2.6652070914696817</v>
      </c>
      <c r="I8" s="47">
        <f t="shared" si="3"/>
        <v>233310.56080069099</v>
      </c>
      <c r="J8" s="48">
        <v>2.4699996349170545</v>
      </c>
      <c r="K8" s="20">
        <v>1</v>
      </c>
      <c r="L8" s="49">
        <f t="shared" si="4"/>
        <v>2593.2465000000002</v>
      </c>
      <c r="M8" s="47">
        <v>402317</v>
      </c>
      <c r="N8" s="21">
        <f t="shared" si="5"/>
        <v>0.69813128061678675</v>
      </c>
    </row>
    <row r="9" spans="1:14" ht="15.75" customHeight="1" x14ac:dyDescent="0.25">
      <c r="A9" s="24" t="s">
        <v>55</v>
      </c>
      <c r="B9" s="24" t="s">
        <v>61</v>
      </c>
      <c r="C9" s="19">
        <f t="shared" si="0"/>
        <v>2769.183</v>
      </c>
      <c r="D9" s="47">
        <v>615374</v>
      </c>
      <c r="E9" s="47">
        <v>1078</v>
      </c>
      <c r="F9" s="21">
        <f t="shared" si="1"/>
        <v>1.7517802182087641E-3</v>
      </c>
      <c r="G9" s="20">
        <v>4.5</v>
      </c>
      <c r="H9" s="19">
        <f t="shared" si="2"/>
        <v>2.5688153988868274</v>
      </c>
      <c r="I9" s="47">
        <f t="shared" si="3"/>
        <v>249139.30807955968</v>
      </c>
      <c r="J9" s="48">
        <v>2.4699996349170545</v>
      </c>
      <c r="K9" s="20">
        <v>6</v>
      </c>
      <c r="L9" s="49">
        <f t="shared" si="4"/>
        <v>461.53050000000002</v>
      </c>
      <c r="M9" s="47">
        <v>433556</v>
      </c>
      <c r="N9" s="21">
        <f t="shared" si="5"/>
        <v>0.70454065332626992</v>
      </c>
    </row>
    <row r="10" spans="1:14" ht="15.75" customHeight="1" x14ac:dyDescent="0.25">
      <c r="A10" s="24" t="s">
        <v>55</v>
      </c>
      <c r="B10" s="24" t="s">
        <v>73</v>
      </c>
      <c r="C10" s="19">
        <f t="shared" si="0"/>
        <v>5734.2420000000002</v>
      </c>
      <c r="D10" s="47">
        <v>1274276</v>
      </c>
      <c r="E10" s="47">
        <v>2223</v>
      </c>
      <c r="F10" s="21">
        <f t="shared" si="1"/>
        <v>1.7445200254889836E-3</v>
      </c>
      <c r="G10" s="20">
        <v>4.5</v>
      </c>
      <c r="H10" s="19">
        <f t="shared" si="2"/>
        <v>2.5795060728744938</v>
      </c>
      <c r="I10" s="47">
        <f t="shared" si="3"/>
        <v>515901.2908286489</v>
      </c>
      <c r="J10" s="48">
        <v>2.4699996349170545</v>
      </c>
      <c r="K10" s="20">
        <v>6</v>
      </c>
      <c r="L10" s="49">
        <f t="shared" si="4"/>
        <v>955.70699999999999</v>
      </c>
      <c r="M10" s="47">
        <v>906316</v>
      </c>
      <c r="N10" s="21">
        <f t="shared" si="5"/>
        <v>0.71123995115657834</v>
      </c>
    </row>
    <row r="11" spans="1:14" ht="15.75" customHeight="1" x14ac:dyDescent="0.25">
      <c r="A11" s="24" t="s">
        <v>55</v>
      </c>
      <c r="B11" s="24" t="s">
        <v>74</v>
      </c>
      <c r="C11" s="19">
        <f t="shared" si="0"/>
        <v>1502.0909999999999</v>
      </c>
      <c r="D11" s="47">
        <v>333798</v>
      </c>
      <c r="E11" s="47">
        <v>533</v>
      </c>
      <c r="F11" s="21">
        <f t="shared" si="1"/>
        <v>1.5967740969089091E-3</v>
      </c>
      <c r="G11" s="20">
        <v>4.5</v>
      </c>
      <c r="H11" s="19">
        <f t="shared" si="2"/>
        <v>2.818181988742964</v>
      </c>
      <c r="I11" s="47">
        <f t="shared" si="3"/>
        <v>135140.91066301285</v>
      </c>
      <c r="J11" s="48">
        <v>2.4699996349170545</v>
      </c>
      <c r="K11" s="20">
        <v>1</v>
      </c>
      <c r="L11" s="49">
        <f t="shared" si="4"/>
        <v>1502.0909999999999</v>
      </c>
      <c r="M11" s="47">
        <v>244102</v>
      </c>
      <c r="N11" s="21">
        <f t="shared" si="5"/>
        <v>0.73128658649842115</v>
      </c>
    </row>
    <row r="12" spans="1:14" ht="15.75" customHeight="1" x14ac:dyDescent="0.25">
      <c r="A12" s="24" t="s">
        <v>55</v>
      </c>
      <c r="B12" s="24" t="s">
        <v>75</v>
      </c>
      <c r="C12" s="19">
        <f t="shared" si="0"/>
        <v>586.53449999999998</v>
      </c>
      <c r="D12" s="47">
        <v>130341</v>
      </c>
      <c r="E12" s="47">
        <v>247</v>
      </c>
      <c r="F12" s="21">
        <f t="shared" si="1"/>
        <v>1.8950291926561865E-3</v>
      </c>
      <c r="G12" s="20">
        <v>4.5</v>
      </c>
      <c r="H12" s="19">
        <f t="shared" si="2"/>
        <v>2.3746336032388662</v>
      </c>
      <c r="I12" s="47">
        <f t="shared" si="3"/>
        <v>52769.64342724569</v>
      </c>
      <c r="J12" s="48">
        <v>2.4699996349170545</v>
      </c>
      <c r="K12" s="20">
        <v>0</v>
      </c>
      <c r="L12" s="49" t="e">
        <f t="shared" si="4"/>
        <v>#DIV/0!</v>
      </c>
      <c r="M12" s="47">
        <v>93626</v>
      </c>
      <c r="N12" s="21">
        <f t="shared" si="5"/>
        <v>0.7183158023952555</v>
      </c>
    </row>
    <row r="13" spans="1:14" ht="15.75" customHeight="1" x14ac:dyDescent="0.25">
      <c r="A13" s="24" t="s">
        <v>55</v>
      </c>
      <c r="B13" s="24" t="s">
        <v>76</v>
      </c>
      <c r="C13" s="19">
        <f t="shared" si="0"/>
        <v>1219.5135</v>
      </c>
      <c r="D13" s="47">
        <v>271003</v>
      </c>
      <c r="E13" s="47">
        <v>492</v>
      </c>
      <c r="F13" s="21">
        <f t="shared" si="1"/>
        <v>1.8154780574384786E-3</v>
      </c>
      <c r="G13" s="20">
        <v>4.5</v>
      </c>
      <c r="H13" s="19">
        <f t="shared" si="2"/>
        <v>2.4786859756097561</v>
      </c>
      <c r="I13" s="47">
        <f t="shared" si="3"/>
        <v>109717.82998223018</v>
      </c>
      <c r="J13" s="48">
        <v>2.4699996349170545</v>
      </c>
      <c r="K13" s="20">
        <v>0</v>
      </c>
      <c r="L13" s="49" t="e">
        <f t="shared" si="4"/>
        <v>#DIV/0!</v>
      </c>
      <c r="M13" s="47">
        <v>189931</v>
      </c>
      <c r="N13" s="21">
        <f t="shared" si="5"/>
        <v>0.70084464009623515</v>
      </c>
    </row>
    <row r="14" spans="1:14" ht="13.8" x14ac:dyDescent="0.25">
      <c r="A14" s="17" t="s">
        <v>26</v>
      </c>
      <c r="B14" s="17"/>
      <c r="C14" s="25">
        <f>SUM(C2:C13)</f>
        <v>34098.547500000001</v>
      </c>
      <c r="D14" s="45">
        <f>SUM(D2:D13)</f>
        <v>7577455</v>
      </c>
      <c r="E14" s="45">
        <f>SUM(E2:E13)</f>
        <v>12915</v>
      </c>
      <c r="F14" s="27">
        <f>E14/D14</f>
        <v>1.7043981125589001E-3</v>
      </c>
      <c r="G14" s="26">
        <v>4.5</v>
      </c>
      <c r="H14" s="25">
        <f>C14/E14</f>
        <v>2.6402282229965159</v>
      </c>
      <c r="I14" s="45">
        <f>SUM(I2:I13)</f>
        <v>3067795.9999999995</v>
      </c>
      <c r="J14" s="44">
        <v>2.4699996349170545</v>
      </c>
      <c r="K14" s="45">
        <f>SUM(K2:K13)</f>
        <v>41</v>
      </c>
      <c r="L14" s="25">
        <f>C14/K14</f>
        <v>831.67189024390245</v>
      </c>
      <c r="M14" s="45">
        <f>SUM(M2:M13)</f>
        <v>5378801</v>
      </c>
      <c r="N14" s="27">
        <f>M14/D14</f>
        <v>0.70984268464807776</v>
      </c>
    </row>
    <row r="15" spans="1:14" ht="15.75" customHeight="1" x14ac:dyDescent="0.25">
      <c r="F15"/>
      <c r="J15"/>
    </row>
    <row r="16" spans="1:14" ht="15.75" customHeight="1" x14ac:dyDescent="0.3">
      <c r="A16" s="42" t="s">
        <v>27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</row>
    <row r="17" spans="1:14" ht="13.2" x14ac:dyDescent="0.25">
      <c r="A17" s="14" t="s">
        <v>28</v>
      </c>
      <c r="B17" s="14" t="s">
        <v>11</v>
      </c>
      <c r="C17" s="14" t="s">
        <v>12</v>
      </c>
      <c r="D17" s="14" t="s">
        <v>13</v>
      </c>
      <c r="E17" s="14" t="s">
        <v>14</v>
      </c>
      <c r="F17" s="14" t="s">
        <v>15</v>
      </c>
      <c r="G17" s="14" t="s">
        <v>29</v>
      </c>
      <c r="H17" s="14" t="s">
        <v>30</v>
      </c>
      <c r="I17" s="14" t="s">
        <v>24</v>
      </c>
      <c r="J17" s="14" t="s">
        <v>25</v>
      </c>
      <c r="K17" s="14" t="s">
        <v>77</v>
      </c>
      <c r="L17" s="14" t="s">
        <v>20</v>
      </c>
    </row>
    <row r="18" spans="1:14" ht="15.75" customHeight="1" x14ac:dyDescent="0.25">
      <c r="A18" s="15" t="s">
        <v>78</v>
      </c>
      <c r="B18" s="28">
        <f>C18*F18/1000</f>
        <v>7878.6809999999996</v>
      </c>
      <c r="C18" s="53">
        <v>1750818</v>
      </c>
      <c r="D18" s="53">
        <v>2868</v>
      </c>
      <c r="E18" s="16">
        <v>1.0675467948592513E-3</v>
      </c>
      <c r="F18" s="28">
        <v>4.5</v>
      </c>
      <c r="G18" s="8">
        <f>C18/H18</f>
        <v>871053.73134328367</v>
      </c>
      <c r="H18" s="51">
        <v>2.0099999999999998</v>
      </c>
      <c r="I18" s="11">
        <v>14</v>
      </c>
      <c r="J18" s="28">
        <f>B18/I18</f>
        <v>562.76292857142857</v>
      </c>
      <c r="K18" s="53">
        <v>1204785</v>
      </c>
      <c r="L18" s="16">
        <f>K18/C18</f>
        <v>0.68812692124481245</v>
      </c>
    </row>
    <row r="19" spans="1:14" ht="15.75" customHeight="1" x14ac:dyDescent="0.25">
      <c r="A19" s="2" t="s">
        <v>79</v>
      </c>
      <c r="B19" s="28">
        <f t="shared" ref="B19:B22" si="6">C19*F19/1000</f>
        <v>8216.7929999999997</v>
      </c>
      <c r="C19" s="54">
        <v>1825954</v>
      </c>
      <c r="D19" s="54">
        <v>3019</v>
      </c>
      <c r="E19" s="9">
        <v>1.055506167772495E-3</v>
      </c>
      <c r="F19" s="29">
        <v>4.5</v>
      </c>
      <c r="G19" s="8">
        <f t="shared" ref="G19:G22" si="7">C19/H19</f>
        <v>912977</v>
      </c>
      <c r="H19" s="52">
        <v>2</v>
      </c>
      <c r="I19" s="12">
        <v>2</v>
      </c>
      <c r="J19" s="28">
        <f t="shared" ref="J19:J22" si="8">B19/I19</f>
        <v>4108.3964999999998</v>
      </c>
      <c r="K19" s="54">
        <v>1276722</v>
      </c>
      <c r="L19" s="16">
        <f t="shared" ref="L19:L22" si="9">K19/C19</f>
        <v>0.69920819472998774</v>
      </c>
    </row>
    <row r="20" spans="1:14" ht="15.75" customHeight="1" x14ac:dyDescent="0.25">
      <c r="A20" s="15" t="s">
        <v>80</v>
      </c>
      <c r="B20" s="28">
        <f t="shared" si="6"/>
        <v>8328.9555</v>
      </c>
      <c r="C20" s="47">
        <v>1850879</v>
      </c>
      <c r="D20" s="47">
        <v>3210</v>
      </c>
      <c r="E20" s="21">
        <v>1.1785924748656225E-3</v>
      </c>
      <c r="F20" s="19">
        <v>4.5</v>
      </c>
      <c r="G20" s="8">
        <f t="shared" si="7"/>
        <v>1005912.5</v>
      </c>
      <c r="H20" s="46">
        <v>1.84</v>
      </c>
      <c r="I20" s="20">
        <v>9</v>
      </c>
      <c r="J20" s="28">
        <f t="shared" si="8"/>
        <v>925.43949999999995</v>
      </c>
      <c r="K20" s="47">
        <v>1319502</v>
      </c>
      <c r="L20" s="16">
        <f t="shared" si="9"/>
        <v>0.71290559782676233</v>
      </c>
    </row>
    <row r="21" spans="1:14" ht="15.75" customHeight="1" x14ac:dyDescent="0.25">
      <c r="A21" s="32" t="s">
        <v>81</v>
      </c>
      <c r="B21" s="28">
        <f t="shared" si="6"/>
        <v>5927.7105000000001</v>
      </c>
      <c r="C21" s="47">
        <v>1317269</v>
      </c>
      <c r="D21" s="47">
        <v>2489</v>
      </c>
      <c r="E21" s="21">
        <v>9.7117273678191062E-4</v>
      </c>
      <c r="F21" s="19">
        <v>4.5</v>
      </c>
      <c r="G21" s="8">
        <f t="shared" si="7"/>
        <v>723774.17582417582</v>
      </c>
      <c r="H21" s="46">
        <v>1.82</v>
      </c>
      <c r="I21" s="20">
        <v>5</v>
      </c>
      <c r="J21" s="28">
        <f t="shared" si="8"/>
        <v>1185.5421000000001</v>
      </c>
      <c r="K21" s="47">
        <v>962269</v>
      </c>
      <c r="L21" s="16">
        <f t="shared" si="9"/>
        <v>0.73050303316938303</v>
      </c>
      <c r="M21" s="33"/>
      <c r="N21" s="50"/>
    </row>
    <row r="22" spans="1:14" ht="15.75" customHeight="1" x14ac:dyDescent="0.25">
      <c r="A22" s="2" t="s">
        <v>82</v>
      </c>
      <c r="B22" s="28">
        <f t="shared" si="6"/>
        <v>3746.4074999999998</v>
      </c>
      <c r="C22" s="54">
        <v>832535</v>
      </c>
      <c r="D22" s="54">
        <v>1329</v>
      </c>
      <c r="E22" s="9">
        <v>8.7752981323475498E-4</v>
      </c>
      <c r="F22" s="29">
        <v>4.5</v>
      </c>
      <c r="G22" s="8">
        <f t="shared" si="7"/>
        <v>402190.82125603867</v>
      </c>
      <c r="H22" s="52">
        <v>2.0699999999999998</v>
      </c>
      <c r="I22" s="12">
        <v>11</v>
      </c>
      <c r="J22" s="28">
        <f t="shared" si="8"/>
        <v>340.58249999999998</v>
      </c>
      <c r="K22" s="54">
        <v>615523</v>
      </c>
      <c r="L22" s="16">
        <f t="shared" si="9"/>
        <v>0.73933588377665804</v>
      </c>
    </row>
  </sheetData>
  <mergeCells count="1">
    <mergeCell ref="A16:N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27"/>
  <sheetViews>
    <sheetView showGridLines="0" workbookViewId="0">
      <selection sqref="A1:D1"/>
    </sheetView>
  </sheetViews>
  <sheetFormatPr defaultColWidth="12.6640625" defaultRowHeight="15.75" customHeight="1" x14ac:dyDescent="0.25"/>
  <cols>
    <col min="1" max="1" width="17.6640625" customWidth="1"/>
    <col min="2" max="4" width="15.109375" customWidth="1"/>
    <col min="5" max="24" width="12.6640625" hidden="1"/>
  </cols>
  <sheetData>
    <row r="1" spans="1:4" ht="15.75" customHeight="1" x14ac:dyDescent="0.3">
      <c r="A1" s="42" t="s">
        <v>31</v>
      </c>
      <c r="B1" s="40"/>
      <c r="C1" s="40"/>
      <c r="D1" s="40"/>
    </row>
    <row r="2" spans="1:4" ht="13.2" x14ac:dyDescent="0.25">
      <c r="A2" s="14" t="s">
        <v>32</v>
      </c>
      <c r="B2" s="14" t="s">
        <v>11</v>
      </c>
      <c r="C2" s="14" t="s">
        <v>12</v>
      </c>
      <c r="D2" s="14" t="s">
        <v>13</v>
      </c>
    </row>
    <row r="3" spans="1:4" ht="15.75" customHeight="1" x14ac:dyDescent="0.25">
      <c r="A3" s="15" t="s">
        <v>33</v>
      </c>
      <c r="B3" s="10">
        <f>C3*4.5/1000</f>
        <v>3184.3980000000001</v>
      </c>
      <c r="C3" s="8">
        <v>707644</v>
      </c>
      <c r="D3" s="11">
        <v>221</v>
      </c>
    </row>
    <row r="4" spans="1:4" ht="15.75" customHeight="1" x14ac:dyDescent="0.25">
      <c r="A4" s="2" t="s">
        <v>34</v>
      </c>
      <c r="B4" s="10">
        <f>C4*4.5/1000</f>
        <v>29686.419000000002</v>
      </c>
      <c r="C4" s="7">
        <v>6596982</v>
      </c>
      <c r="D4" s="12">
        <v>11654</v>
      </c>
    </row>
    <row r="5" spans="1:4" ht="15.75" customHeight="1" x14ac:dyDescent="0.25">
      <c r="A5" s="15" t="s">
        <v>35</v>
      </c>
      <c r="B5" s="10">
        <f>C5*4.5/1000</f>
        <v>1227.7304999999999</v>
      </c>
      <c r="C5" s="8">
        <v>272829</v>
      </c>
      <c r="D5" s="11">
        <v>1040</v>
      </c>
    </row>
    <row r="7" spans="1:4" ht="15.75" customHeight="1" x14ac:dyDescent="0.3">
      <c r="A7" s="42"/>
      <c r="B7" s="40"/>
      <c r="C7" s="40"/>
      <c r="D7" s="40"/>
    </row>
    <row r="9" spans="1:4" ht="15.75" customHeight="1" x14ac:dyDescent="0.25">
      <c r="A9" s="39"/>
      <c r="B9" s="40"/>
      <c r="C9" s="40"/>
      <c r="D9" s="40"/>
    </row>
    <row r="10" spans="1:4" ht="15.75" customHeight="1" x14ac:dyDescent="0.25">
      <c r="A10" s="39"/>
      <c r="B10" s="40"/>
      <c r="C10" s="40"/>
      <c r="D10" s="40"/>
    </row>
    <row r="11" spans="1:4" ht="13.2" x14ac:dyDescent="0.25">
      <c r="A11" s="39"/>
      <c r="B11" s="40"/>
      <c r="C11" s="40"/>
      <c r="D11" s="40"/>
    </row>
    <row r="12" spans="1:4" ht="13.2" x14ac:dyDescent="0.25">
      <c r="A12" s="39"/>
      <c r="B12" s="40"/>
      <c r="C12" s="40"/>
      <c r="D12" s="40"/>
    </row>
    <row r="13" spans="1:4" ht="13.2" x14ac:dyDescent="0.25">
      <c r="A13" s="39"/>
      <c r="B13" s="40"/>
      <c r="C13" s="40"/>
      <c r="D13" s="40"/>
    </row>
    <row r="14" spans="1:4" ht="13.2" x14ac:dyDescent="0.25">
      <c r="A14" s="39"/>
      <c r="B14" s="40"/>
      <c r="C14" s="40"/>
      <c r="D14" s="40"/>
    </row>
    <row r="15" spans="1:4" ht="13.2" x14ac:dyDescent="0.25">
      <c r="A15" s="39"/>
      <c r="B15" s="40"/>
      <c r="C15" s="40"/>
      <c r="D15" s="40"/>
    </row>
    <row r="16" spans="1:4" ht="13.2" x14ac:dyDescent="0.25">
      <c r="A16" s="39"/>
      <c r="B16" s="40"/>
      <c r="C16" s="40"/>
      <c r="D16" s="40"/>
    </row>
    <row r="17" spans="1:4" ht="13.2" x14ac:dyDescent="0.25">
      <c r="A17" s="39"/>
      <c r="B17" s="40"/>
      <c r="C17" s="40"/>
      <c r="D17" s="40"/>
    </row>
    <row r="18" spans="1:4" ht="13.2" x14ac:dyDescent="0.25">
      <c r="A18" s="39"/>
      <c r="B18" s="40"/>
      <c r="C18" s="40"/>
      <c r="D18" s="40"/>
    </row>
    <row r="19" spans="1:4" ht="13.2" x14ac:dyDescent="0.25">
      <c r="A19" s="39"/>
      <c r="B19" s="40"/>
      <c r="C19" s="40"/>
      <c r="D19" s="40"/>
    </row>
    <row r="20" spans="1:4" ht="13.2" x14ac:dyDescent="0.25">
      <c r="A20" s="39"/>
      <c r="B20" s="40"/>
      <c r="C20" s="40"/>
      <c r="D20" s="40"/>
    </row>
    <row r="21" spans="1:4" ht="13.2" x14ac:dyDescent="0.25">
      <c r="A21" s="39"/>
      <c r="B21" s="40"/>
      <c r="C21" s="40"/>
      <c r="D21" s="40"/>
    </row>
    <row r="22" spans="1:4" ht="13.2" x14ac:dyDescent="0.25">
      <c r="A22" s="39"/>
      <c r="B22" s="40"/>
      <c r="C22" s="40"/>
      <c r="D22" s="40"/>
    </row>
    <row r="23" spans="1:4" ht="13.2" x14ac:dyDescent="0.25">
      <c r="A23" s="39"/>
      <c r="B23" s="40"/>
      <c r="C23" s="40"/>
      <c r="D23" s="40"/>
    </row>
    <row r="24" spans="1:4" ht="13.2" x14ac:dyDescent="0.25">
      <c r="A24" s="39"/>
      <c r="B24" s="40"/>
      <c r="C24" s="40"/>
      <c r="D24" s="40"/>
    </row>
    <row r="25" spans="1:4" ht="13.2" x14ac:dyDescent="0.25">
      <c r="A25" s="39"/>
      <c r="B25" s="40"/>
      <c r="C25" s="40"/>
      <c r="D25" s="40"/>
    </row>
    <row r="26" spans="1:4" ht="13.2" x14ac:dyDescent="0.25">
      <c r="A26" s="39"/>
      <c r="B26" s="40"/>
      <c r="C26" s="40"/>
      <c r="D26" s="40"/>
    </row>
    <row r="27" spans="1:4" ht="13.2" x14ac:dyDescent="0.25">
      <c r="A27" s="39"/>
      <c r="B27" s="40"/>
      <c r="C27" s="40"/>
      <c r="D27" s="40"/>
    </row>
  </sheetData>
  <mergeCells count="21">
    <mergeCell ref="A23:D23"/>
    <mergeCell ref="A24:D24"/>
    <mergeCell ref="A25:D25"/>
    <mergeCell ref="A26:D26"/>
    <mergeCell ref="A27:D27"/>
    <mergeCell ref="A12:D12"/>
    <mergeCell ref="A20:D20"/>
    <mergeCell ref="A21:D21"/>
    <mergeCell ref="A22:D22"/>
    <mergeCell ref="A13:D13"/>
    <mergeCell ref="A14:D14"/>
    <mergeCell ref="A15:D15"/>
    <mergeCell ref="A16:D16"/>
    <mergeCell ref="A17:D17"/>
    <mergeCell ref="A18:D18"/>
    <mergeCell ref="A19:D19"/>
    <mergeCell ref="A1:D1"/>
    <mergeCell ref="A7:D7"/>
    <mergeCell ref="A9:D9"/>
    <mergeCell ref="A10:D10"/>
    <mergeCell ref="A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showGridLines="0" workbookViewId="0">
      <selection sqref="A1:B1"/>
    </sheetView>
  </sheetViews>
  <sheetFormatPr defaultColWidth="12.6640625" defaultRowHeight="15.75" customHeight="1" x14ac:dyDescent="0.25"/>
  <cols>
    <col min="1" max="1" width="22.6640625" customWidth="1"/>
    <col min="2" max="2" width="62.6640625" customWidth="1"/>
    <col min="3" max="26" width="12.6640625" hidden="1"/>
  </cols>
  <sheetData>
    <row r="1" spans="1:2" ht="30" customHeight="1" x14ac:dyDescent="0.25">
      <c r="A1" s="43" t="s">
        <v>36</v>
      </c>
      <c r="B1" s="40"/>
    </row>
    <row r="3" spans="1:2" ht="13.2" x14ac:dyDescent="0.25">
      <c r="A3" s="14" t="s">
        <v>37</v>
      </c>
      <c r="B3" s="14" t="s">
        <v>10</v>
      </c>
    </row>
    <row r="4" spans="1:2" ht="13.2" x14ac:dyDescent="0.25">
      <c r="A4" s="5" t="s">
        <v>38</v>
      </c>
      <c r="B4" s="15" t="s">
        <v>39</v>
      </c>
    </row>
    <row r="5" spans="1:2" ht="13.2" x14ac:dyDescent="0.25">
      <c r="A5" s="1" t="s">
        <v>40</v>
      </c>
      <c r="B5" s="2" t="s">
        <v>41</v>
      </c>
    </row>
    <row r="6" spans="1:2" ht="13.2" x14ac:dyDescent="0.25">
      <c r="A6" s="5" t="s">
        <v>42</v>
      </c>
      <c r="B6" s="15" t="s">
        <v>55</v>
      </c>
    </row>
    <row r="7" spans="1:2" ht="13.2" x14ac:dyDescent="0.25">
      <c r="A7" s="1" t="s">
        <v>2</v>
      </c>
      <c r="B7" s="2" t="s">
        <v>69</v>
      </c>
    </row>
    <row r="8" spans="1:2" ht="13.2" x14ac:dyDescent="0.25">
      <c r="A8" s="5" t="s">
        <v>43</v>
      </c>
      <c r="B8" s="15" t="s">
        <v>44</v>
      </c>
    </row>
    <row r="9" spans="1:2" ht="13.2" x14ac:dyDescent="0.25">
      <c r="A9" s="1" t="s">
        <v>5</v>
      </c>
      <c r="B9" s="2" t="s">
        <v>6</v>
      </c>
    </row>
    <row r="10" spans="1:2" ht="13.2" x14ac:dyDescent="0.25">
      <c r="A10" s="5" t="s">
        <v>45</v>
      </c>
      <c r="B10" s="15"/>
    </row>
    <row r="11" spans="1:2" ht="13.2" x14ac:dyDescent="0.25">
      <c r="A11" s="1" t="s">
        <v>46</v>
      </c>
      <c r="B11" s="2" t="s">
        <v>47</v>
      </c>
    </row>
    <row r="12" spans="1:2" ht="13.2" x14ac:dyDescent="0.25">
      <c r="A12" s="5" t="s">
        <v>48</v>
      </c>
      <c r="B12" s="15" t="s">
        <v>49</v>
      </c>
    </row>
    <row r="13" spans="1:2" ht="13.2" x14ac:dyDescent="0.25">
      <c r="A13" s="1" t="s">
        <v>50</v>
      </c>
      <c r="B13" s="2" t="s">
        <v>51</v>
      </c>
    </row>
    <row r="14" spans="1:2" ht="13.2" x14ac:dyDescent="0.25">
      <c r="A14" s="5" t="s">
        <v>52</v>
      </c>
      <c r="B14" s="15" t="s">
        <v>53</v>
      </c>
    </row>
    <row r="16" spans="1:2" ht="15.6" x14ac:dyDescent="0.3">
      <c r="A16" s="18" t="s">
        <v>54</v>
      </c>
      <c r="B16" s="18"/>
    </row>
    <row r="17" spans="1:2" ht="13.2" x14ac:dyDescent="0.25">
      <c r="A17" s="39"/>
      <c r="B17" s="40"/>
    </row>
    <row r="18" spans="1:2" ht="13.2" x14ac:dyDescent="0.25">
      <c r="A18" s="39"/>
      <c r="B18" s="40"/>
    </row>
    <row r="19" spans="1:2" ht="13.2" x14ac:dyDescent="0.25">
      <c r="A19" s="39"/>
      <c r="B19" s="40"/>
    </row>
    <row r="20" spans="1:2" ht="13.2" x14ac:dyDescent="0.25">
      <c r="A20" s="39"/>
      <c r="B20" s="40"/>
    </row>
    <row r="21" spans="1:2" ht="13.2" x14ac:dyDescent="0.25">
      <c r="A21" s="39"/>
      <c r="B21" s="40"/>
    </row>
  </sheetData>
  <mergeCells count="6">
    <mergeCell ref="A21:B21"/>
    <mergeCell ref="A1:B1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Performance</vt:lpstr>
      <vt:lpstr>Diagnostics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Samaniego</dc:creator>
  <cp:lastModifiedBy>Anthony Passaretti</cp:lastModifiedBy>
  <dcterms:created xsi:type="dcterms:W3CDTF">2026-04-10T14:18:40Z</dcterms:created>
  <dcterms:modified xsi:type="dcterms:W3CDTF">2026-08-04T15:53:03Z</dcterms:modified>
</cp:coreProperties>
</file>